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KPI Dashboard" sheetId="2" state="visible" r:id="rId4"/>
    <sheet name="Tech Debt Register" sheetId="3" state="visible" r:id="rId5"/>
    <sheet name="Capacity &amp; Budget" sheetId="4" state="visible" r:id="rId6"/>
    <sheet name="Roadmap" sheetId="5" state="visible" r:id="rId7"/>
    <sheet name="Cadence" sheetId="6" state="visible" r:id="rId8"/>
    <sheet name="Sprint Tracker" sheetId="7" state="visible" r:id="rId9"/>
    <sheet name="Settings" sheetId="8" state="visible" r:id="rId10"/>
    <sheet name="Lists" sheetId="9" state="visible" r:id="rId11"/>
  </sheets>
  <definedNames>
    <definedName function="false" hidden="true" localSheetId="2" name="_xlnm._FilterDatabase" vbProcedure="false">'Tech Debt Register'!$A$4:$AD$204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Fowler technical-debt quadrant: deliberate vs inadvertent, prudent vs reckless.</t>
        </r>
      </text>
    </comment>
    <comment ref="H4" authorId="0">
      <text>
        <r>
          <rPr>
            <sz val="10"/>
            <rFont val="Arial"/>
            <family val="2"/>
          </rPr>
          <t xml:space="preserve">SAP clean core extensibility level: A = released APIs / ABAP Cloud; B = classic APIs; C = internal/unreleased objects; D = modifications / not recommended.</t>
        </r>
      </text>
    </comment>
    <comment ref="J4" authorId="0">
      <text>
        <r>
          <rPr>
            <sz val="10"/>
            <rFont val="Arial"/>
            <family val="2"/>
          </rPr>
          <t xml:space="preserve">Only for Defects. P1/P2 go to the expedite lane and bypass WSJF.</t>
        </r>
      </text>
    </comment>
    <comment ref="K4" authorId="0">
      <text>
        <r>
          <rPr>
            <sz val="10"/>
            <rFont val="Arial"/>
            <family val="2"/>
          </rPr>
          <t xml:space="preserve">Business Value (Fibonacci 1-20): revenue, cost, user productivity, compliance value to the business.</t>
        </r>
      </text>
    </comment>
    <comment ref="L4" authorId="0">
      <text>
        <r>
          <rPr>
            <sz val="10"/>
            <rFont val="Arial"/>
            <family val="2"/>
          </rPr>
          <t xml:space="preserve">Time Criticality (1-20): does value decay if we wait? Fixed dates, month-end, audit, contract, maintenance deadlines.</t>
        </r>
      </text>
    </comment>
    <comment ref="M4" authorId="0">
      <text>
        <r>
          <rPr>
            <sz val="10"/>
            <rFont val="Arial"/>
            <family val="2"/>
          </rPr>
          <t xml:space="preserve">Risk Reduction / Opportunity Enablement (1-20): does it reduce risk (security, upgrade, audit) or unlock other items (e.g. Fiori, Work Zone, AI)? Tech debt usually scores high here.</t>
        </r>
      </text>
    </comment>
    <comment ref="N4" authorId="0">
      <text>
        <r>
          <rPr>
            <sz val="10"/>
            <rFont val="Arial"/>
            <family val="2"/>
          </rPr>
          <t xml:space="preserve">Job Size (1-20): relative effort. Use the same Fibonacci scale; NOT person-days.</t>
        </r>
      </text>
    </comment>
    <comment ref="O4" authorId="0">
      <text>
        <r>
          <rPr>
            <sz val="10"/>
            <rFont val="Arial"/>
            <family val="2"/>
          </rPr>
          <t xml:space="preserve">WSJF = (Business Value + Time Criticality + Risk Reduction/Opportunity Enablement) / Job Size (SAFe).</t>
        </r>
      </text>
    </comment>
    <comment ref="Q4" authorId="0">
      <text>
        <r>
          <rPr>
            <sz val="10"/>
            <rFont val="Arial"/>
            <family val="2"/>
          </rPr>
          <t xml:space="preserve">Interest: hours per month the organisation loses because the debt exists (workarounds, manual fixes, extra testing, incidents).</t>
        </r>
      </text>
    </comment>
    <comment ref="R4" authorId="0">
      <text>
        <r>
          <rPr>
            <sz val="10"/>
            <rFont val="Arial"/>
            <family val="2"/>
          </rPr>
          <t xml:space="preserve">Principal: estimated person-days to remove the debt.</t>
        </r>
      </text>
    </comment>
    <comment ref="T4" authorId="0">
      <text>
        <r>
          <rPr>
            <sz val="10"/>
            <rFont val="Arial"/>
            <family val="2"/>
          </rPr>
          <t xml:space="preserve">Annual interest cost = hrs/month x 12 x day rate / 8.</t>
        </r>
      </text>
    </comment>
    <comment ref="U4" authorId="0">
      <text>
        <r>
          <rPr>
            <sz val="10"/>
            <rFont val="Arial"/>
            <family val="2"/>
          </rPr>
          <t xml:space="preserve">Payback = one-off fix cost / monthly interest cost. &lt; 12 months is a strong candidate.</t>
        </r>
      </text>
    </comment>
  </commentList>
</comments>
</file>

<file path=xl/sharedStrings.xml><?xml version="1.0" encoding="utf-8"?>
<sst xmlns="http://schemas.openxmlformats.org/spreadsheetml/2006/main" count="793" uniqueCount="472">
  <si>
    <t xml:space="preserve">AmphenolCIT S/4HANA - Tech Debt &amp; Innovation Planner</t>
  </si>
  <si>
    <t xml:space="preserve">Companion to the strategy deck and quick reference guide. Draft v0.1 - Enterprise Architecture.</t>
  </si>
  <si>
    <t xml:space="preserve">How to use</t>
  </si>
  <si>
    <t xml:space="preserve">1. Settings</t>
  </si>
  <si>
    <t xml:space="preserve">Set day rate, working days, availability and plan start date.</t>
  </si>
  <si>
    <t xml:space="preserve">2. Tech Debt Register</t>
  </si>
  <si>
    <t xml:space="preserve">Single backlog for ALL work types. Log every item with the quick reference guide fields. EX-### rows are illustrative - overwrite them.</t>
  </si>
  <si>
    <t xml:space="preserve">3. Score</t>
  </si>
  <si>
    <t xml:space="preserve">Business Value, Time Criticality, Risk Reduction/Opportunity Enablement and Job Size on 1-2-3-5-8-13-20. WSJF and rank calculate automatically. P1/P2 defects bypass ranking (expedite lane).</t>
  </si>
  <si>
    <t xml:space="preserve">4. Capacity &amp; Budget</t>
  </si>
  <si>
    <t xml:space="preserve">Enter FTE and budget caps; set % allocation per work type per quarter. Compare guardrail capacity to live demand from the register.</t>
  </si>
  <si>
    <t xml:space="preserve">5. Roadmap</t>
  </si>
  <si>
    <t xml:space="preserve">Adjust start/end dates; Gantt bars redraw.</t>
  </si>
  <si>
    <t xml:space="preserve">6. Sprint Tracker</t>
  </si>
  <si>
    <t xml:space="preserve">Record planned vs done points per type each sprint to show real flow distribution.</t>
  </si>
  <si>
    <t xml:space="preserve">7. KPI Dashboard</t>
  </si>
  <si>
    <t xml:space="preserve">Live backlog counts and health signals; update 'Current' KPI values monthly for the portfolio review.</t>
  </si>
  <si>
    <t xml:space="preserve">8. Cadence</t>
  </si>
  <si>
    <t xml:space="preserve">The ceremonies that keep grooming and repetition going.</t>
  </si>
  <si>
    <t xml:space="preserve">Colour legend</t>
  </si>
  <si>
    <t xml:space="preserve">Yellow fill, blue text</t>
  </si>
  <si>
    <t xml:space="preserve">Input - edit these</t>
  </si>
  <si>
    <t xml:space="preserve">Grey fill</t>
  </si>
  <si>
    <t xml:space="preserve">Formula - do not overwrite</t>
  </si>
  <si>
    <t xml:space="preserve">Red highlight</t>
  </si>
  <si>
    <t xml:space="preserve">Needs attention (stale item, P1/P2, over budget, allocation not 100%)</t>
  </si>
  <si>
    <t xml:space="preserve">Definitions</t>
  </si>
  <si>
    <t xml:space="preserve">Tech Debt</t>
  </si>
  <si>
    <t xml:space="preserve">Something built or configured that works today but increases the cost or risk of future change (e.g. modifications, Z-fields holding standard data, P2P interfaces, missing tests).</t>
  </si>
  <si>
    <t xml:space="preserve">Defect</t>
  </si>
  <si>
    <t xml:space="preserve">Something that does not work as designed. Severity P1-P4.</t>
  </si>
  <si>
    <t xml:space="preserve">Feature</t>
  </si>
  <si>
    <t xml:space="preserve">New or improved business capability (e.g. a Fiori app, Work Zone site, new S/4 functionality).</t>
  </si>
  <si>
    <t xml:space="preserve">Enabler</t>
  </si>
  <si>
    <t xml:space="preserve">Platform / architecture work that makes features possible (e.g. Work Zone subaccount, Integration Suite landing zone, test automation).</t>
  </si>
  <si>
    <t xml:space="preserve">Risk/Compliance</t>
  </si>
  <si>
    <t xml:space="preserve">Security, audit, maintenance-deadline or licence-driven work.</t>
  </si>
  <si>
    <t xml:space="preserve">Interest vs Principal</t>
  </si>
  <si>
    <t xml:space="preserve">Interest = recurring cost of living with the debt (hrs/month). Principal = one-off cost to remove it. High interest + low principal = pay down first.</t>
  </si>
  <si>
    <t xml:space="preserve">Visible Progress - KPI Dashboard</t>
  </si>
  <si>
    <t xml:space="preserve">Backlog counts update live from the register. KPI baselines/targets are inputs to agree with leadership.</t>
  </si>
  <si>
    <t xml:space="preserve">Backlog by type and status (live)</t>
  </si>
  <si>
    <t xml:space="preserve">Item type</t>
  </si>
  <si>
    <t xml:space="preserve">New</t>
  </si>
  <si>
    <t xml:space="preserve">Triaged</t>
  </si>
  <si>
    <t xml:space="preserve">Ready</t>
  </si>
  <si>
    <t xml:space="preserve">In Progress</t>
  </si>
  <si>
    <t xml:space="preserve">Testing</t>
  </si>
  <si>
    <t xml:space="preserve">Done</t>
  </si>
  <si>
    <t xml:space="preserve">Open total</t>
  </si>
  <si>
    <t xml:space="preserve">Open effort (p-days)</t>
  </si>
  <si>
    <t xml:space="preserve">Avg WSJF (open)</t>
  </si>
  <si>
    <t xml:space="preserve">Total</t>
  </si>
  <si>
    <t xml:space="preserve">Health signals (live)</t>
  </si>
  <si>
    <t xml:space="preserve">Stale items (New/Triaged &gt; threshold)</t>
  </si>
  <si>
    <t xml:space="preserve">Open items blocking innovation</t>
  </si>
  <si>
    <t xml:space="preserve">Open Level C/D clean-core items</t>
  </si>
  <si>
    <t xml:space="preserve">Open P1/P2 defects</t>
  </si>
  <si>
    <t xml:space="preserve">Annual interest cost of open tech debt (USD)</t>
  </si>
  <si>
    <t xml:space="preserve">Open tech debt principal (USD)</t>
  </si>
  <si>
    <t xml:space="preserve">Outcome KPIs (agree baseline + targets; update 'Current' monthly)</t>
  </si>
  <si>
    <t xml:space="preserve">KPI</t>
  </si>
  <si>
    <t xml:space="preserve">Dimension</t>
  </si>
  <si>
    <t xml:space="preserve">Unit</t>
  </si>
  <si>
    <t xml:space="preserve">Baseline</t>
  </si>
  <si>
    <t xml:space="preserve">Target Q2-2027</t>
  </si>
  <si>
    <t xml:space="preserve">Target Q4-2027</t>
  </si>
  <si>
    <t xml:space="preserve">Current</t>
  </si>
  <si>
    <t xml:space="preserve">Direction</t>
  </si>
  <si>
    <t xml:space="preserve">RAG</t>
  </si>
  <si>
    <t xml:space="preserve">Source / tool</t>
  </si>
  <si>
    <t xml:space="preserve">Share of active users launching Fiori apps monthly</t>
  </si>
  <si>
    <t xml:space="preserve">UX</t>
  </si>
  <si>
    <t xml:space="preserve">%</t>
  </si>
  <si>
    <t xml:space="preserve">Up</t>
  </si>
  <si>
    <t xml:space="preserve">Fiori apps in productive use</t>
  </si>
  <si>
    <t xml:space="preserve">#</t>
  </si>
  <si>
    <t xml:space="preserve">Users onboarded to Work Zone sites</t>
  </si>
  <si>
    <t xml:space="preserve">Interfaces on Integration Suite (of total)</t>
  </si>
  <si>
    <t xml:space="preserve">Integration</t>
  </si>
  <si>
    <t xml:space="preserve">Interface failures per month</t>
  </si>
  <si>
    <t xml:space="preserve">Down</t>
  </si>
  <si>
    <t xml:space="preserve">Custom objects (Z) in use</t>
  </si>
  <si>
    <t xml:space="preserve">Extensibility</t>
  </si>
  <si>
    <t xml:space="preserve">ATC clean-core findings Level C/D</t>
  </si>
  <si>
    <t xml:space="preserve">Business-data custom fields mapped to standard or exposed</t>
  </si>
  <si>
    <t xml:space="preserve">Data</t>
  </si>
  <si>
    <t xml:space="preserve">Master data quality score (rule pass rate)</t>
  </si>
  <si>
    <t xml:space="preserve">Median lead time request -&gt; production (days)</t>
  </si>
  <si>
    <t xml:space="preserve">Operations</t>
  </si>
  <si>
    <t xml:space="preserve">days</t>
  </si>
  <si>
    <t xml:space="preserve">Tech debt share of delivered capacity</t>
  </si>
  <si>
    <t xml:space="preserve">Hold</t>
  </si>
  <si>
    <t xml:space="preserve">Behind latest S/4 FPS / release (months)</t>
  </si>
  <si>
    <t xml:space="preserve">months</t>
  </si>
  <si>
    <t xml:space="preserve">Baselines/targets are illustrative placeholders; RAG compares Current to the Q2-2027 target (G = met, A = improving vs baseline, R = not improving).</t>
  </si>
  <si>
    <t xml:space="preserve">Unified Backlog &amp; Tech Debt Register</t>
  </si>
  <si>
    <t xml:space="preserve">One backlog for Features, Defects, Tech Debt, Enablers and Risk/Compliance. Yellow = input; grey = calculated. Rows EX-### are ILLUSTRATIVE - overwrite with real items.</t>
  </si>
  <si>
    <t xml:space="preserve">ID</t>
  </si>
  <si>
    <t xml:space="preserve">Title</t>
  </si>
  <si>
    <t xml:space="preserve">Item Type</t>
  </si>
  <si>
    <t xml:space="preserve">Clean Core Dimension</t>
  </si>
  <si>
    <t xml:space="preserve">Area / Module</t>
  </si>
  <si>
    <t xml:space="preserve">Description / symptom</t>
  </si>
  <si>
    <t xml:space="preserve">Root cause (Fowler quadrant)</t>
  </si>
  <si>
    <t xml:space="preserve">Clean Core Level (A-D)</t>
  </si>
  <si>
    <t xml:space="preserve">Blocks innovation? (Y/N)</t>
  </si>
  <si>
    <t xml:space="preserve">Bug severity (P1-P4)</t>
  </si>
  <si>
    <t xml:space="preserve">Business Value</t>
  </si>
  <si>
    <t xml:space="preserve">Time Criticality</t>
  </si>
  <si>
    <t xml:space="preserve">Risk Reduction / Opportunity Enablement</t>
  </si>
  <si>
    <t xml:space="preserve">Job Size</t>
  </si>
  <si>
    <t xml:space="preserve">WSJF score</t>
  </si>
  <si>
    <t xml:space="preserve">Priority rank</t>
  </si>
  <si>
    <t xml:space="preserve">Interest (hrs / month lost)</t>
  </si>
  <si>
    <t xml:space="preserve">Principal (effort person-days)</t>
  </si>
  <si>
    <t xml:space="preserve">Est. cost (USD)</t>
  </si>
  <si>
    <t xml:space="preserve">Annual interest cost (USD)</t>
  </si>
  <si>
    <t xml:space="preserve">Payback (months)</t>
  </si>
  <si>
    <t xml:space="preserve">Business owner</t>
  </si>
  <si>
    <t xml:space="preserve">IT owner</t>
  </si>
  <si>
    <t xml:space="preserve">Status</t>
  </si>
  <si>
    <t xml:space="preserve">Target quarter</t>
  </si>
  <si>
    <t xml:space="preserve">Date raised</t>
  </si>
  <si>
    <t xml:space="preserve">Date closed</t>
  </si>
  <si>
    <t xml:space="preserve">Age (days)</t>
  </si>
  <si>
    <t xml:space="preserve">Stale?</t>
  </si>
  <si>
    <t xml:space="preserve">Notes / evidence link</t>
  </si>
  <si>
    <t xml:space="preserve">EX-001</t>
  </si>
  <si>
    <t xml:space="preserve">Business data held in custom Z-fields on material master (MARA append)</t>
  </si>
  <si>
    <t xml:space="preserve">MM</t>
  </si>
  <si>
    <t xml:space="preserve">Z-fields not exposed via CDS/OData; standard Fiori apps, APIs and analytics cannot see the data. Users revert to SE16N/Excel.</t>
  </si>
  <si>
    <t xml:space="preserve">Deliberate-Prudent</t>
  </si>
  <si>
    <t xml:space="preserve">C</t>
  </si>
  <si>
    <t xml:space="preserve">Y</t>
  </si>
  <si>
    <t xml:space="preserve">n/a</t>
  </si>
  <si>
    <t xml:space="preserve">Materials Mgmt lead</t>
  </si>
  <si>
    <t xml:space="preserve">MM functional lead</t>
  </si>
  <si>
    <t xml:space="preserve">Q1-2027</t>
  </si>
  <si>
    <t xml:space="preserve">Evidence: SE11 append ZAMARA; map each Z-field to standard field or Custom Fields app</t>
  </si>
  <si>
    <t xml:space="preserve">EX-002</t>
  </si>
  <si>
    <t xml:space="preserve">Activate Fiori launchpad + role-based spaces for AP / AR clerks</t>
  </si>
  <si>
    <t xml:space="preserve">FI</t>
  </si>
  <si>
    <t xml:space="preserve">Finance users on SAP GUI only; Manage Supplier Line Items, Clear GL Accounts etc. not in use.</t>
  </si>
  <si>
    <t xml:space="preserve">A</t>
  </si>
  <si>
    <t xml:space="preserve">N</t>
  </si>
  <si>
    <t xml:space="preserve">Finance controller</t>
  </si>
  <si>
    <t xml:space="preserve">Fiori/Basis lead</t>
  </si>
  <si>
    <t xml:space="preserve">Q4-2026</t>
  </si>
  <si>
    <t xml:space="preserve">Use Fiori Apps Library recommendations report from ST03N usage</t>
  </si>
  <si>
    <t xml:space="preserve">EX-003</t>
  </si>
  <si>
    <t xml:space="preserve">SAP Build Work Zone (standard) subaccount, IdP and content federation</t>
  </si>
  <si>
    <t xml:space="preserve">BTP</t>
  </si>
  <si>
    <t xml:space="preserve">No central entry point; users bookmark GUI transactions and separate portals.</t>
  </si>
  <si>
    <t xml:space="preserve">CIO office</t>
  </si>
  <si>
    <t xml:space="preserve">BTP platform lead</t>
  </si>
  <si>
    <t xml:space="preserve">Prereq: SAP Cloud Identity Services, Cloud Connector, content provider from S/4 FLP</t>
  </si>
  <si>
    <t xml:space="preserve">EX-004</t>
  </si>
  <si>
    <t xml:space="preserve">Point-to-point RFC / file interfaces to MES re-platformed to Integration Suite</t>
  </si>
  <si>
    <t xml:space="preserve">12 custom RFC/file jobs, no monitoring, failures found by users.</t>
  </si>
  <si>
    <t xml:space="preserve">Inadvertent-Prudent</t>
  </si>
  <si>
    <t xml:space="preserve">B</t>
  </si>
  <si>
    <t xml:space="preserve">Plant ops director</t>
  </si>
  <si>
    <t xml:space="preserve">Integration lead</t>
  </si>
  <si>
    <t xml:space="preserve">Q2-2027</t>
  </si>
  <si>
    <t xml:space="preserve">Run Integration Suite Migration Assessment + ISA-M classification</t>
  </si>
  <si>
    <t xml:space="preserve">EX-005</t>
  </si>
  <si>
    <t xml:space="preserve">Intercompany STO pricing condition wrong for plant 2100</t>
  </si>
  <si>
    <t xml:space="preserve">Process</t>
  </si>
  <si>
    <t xml:space="preserve">SD</t>
  </si>
  <si>
    <t xml:space="preserve">Wrong transfer price on intercompany billing; manual correction each month-end.</t>
  </si>
  <si>
    <t xml:space="preserve">Inadvertent-Reckless</t>
  </si>
  <si>
    <t xml:space="preserve">P3</t>
  </si>
  <si>
    <t xml:space="preserve">Sales ops</t>
  </si>
  <si>
    <t xml:space="preserve">SD functional lead</t>
  </si>
  <si>
    <t xml:space="preserve">EX-006</t>
  </si>
  <si>
    <t xml:space="preserve">Modifications in sales-order user exits (MV45AFZZ) refactored to released BAdIs</t>
  </si>
  <si>
    <t xml:space="preserve">Implicit enhancements + modifications slow every upgrade and block clean core.</t>
  </si>
  <si>
    <t xml:space="preserve">Deliberate-Reckless</t>
  </si>
  <si>
    <t xml:space="preserve">D</t>
  </si>
  <si>
    <t xml:space="preserve">ABAP dev lead</t>
  </si>
  <si>
    <t xml:space="preserve">ATC clean-core check variant findings</t>
  </si>
  <si>
    <t xml:space="preserve">EX-007</t>
  </si>
  <si>
    <t xml:space="preserve">Decommission unused custom code (no usage in 12 months)</t>
  </si>
  <si>
    <t xml:space="preserve">Cross-app</t>
  </si>
  <si>
    <t xml:space="preserve">Approx. 30% of Z-objects show no execution in SCMON/SUSG data.</t>
  </si>
  <si>
    <t xml:space="preserve">Custom Code Migration app scoping; retire before remediate</t>
  </si>
  <si>
    <t xml:space="preserve">EX-008</t>
  </si>
  <si>
    <t xml:space="preserve">Adopt Monitor Material Coverage / MRP Live Fiori apps for planners</t>
  </si>
  <si>
    <t xml:space="preserve">PP</t>
  </si>
  <si>
    <t xml:space="preserve">Planners use MD04 + Excel; exception-based planning not used.</t>
  </si>
  <si>
    <t xml:space="preserve">Supply chain VP</t>
  </si>
  <si>
    <t xml:space="preserve">PP functional lead</t>
  </si>
  <si>
    <t xml:space="preserve">EX-009</t>
  </si>
  <si>
    <t xml:space="preserve">S/4HANA Feature Pack / release currency plan</t>
  </si>
  <si>
    <t xml:space="preserve">Basis</t>
  </si>
  <si>
    <t xml:space="preserve">System behind latest FPS; missing innovations and security fixes.</t>
  </si>
  <si>
    <t xml:space="preserve">Basis lead</t>
  </si>
  <si>
    <t xml:space="preserve">Run SAP Readiness Check for the target release</t>
  </si>
  <si>
    <t xml:space="preserve">EX-010</t>
  </si>
  <si>
    <t xml:space="preserve">Duplicate business partners (customer/supplier) cleansing</t>
  </si>
  <si>
    <t xml:space="preserve">Estimated duplicates cause blocked payments and credit errors.</t>
  </si>
  <si>
    <t xml:space="preserve">Master data owner</t>
  </si>
  <si>
    <t xml:space="preserve">Data lead</t>
  </si>
  <si>
    <t xml:space="preserve">Profile with Data Quality rules; evaluate SAP MDG consolidation</t>
  </si>
  <si>
    <t xml:space="preserve">EX-011</t>
  </si>
  <si>
    <t xml:space="preserve">ORDERS IDoc failures from EDI partner</t>
  </si>
  <si>
    <t xml:space="preserve">Status 51 errors daily; orders re-keyed manually.</t>
  </si>
  <si>
    <t xml:space="preserve">P2</t>
  </si>
  <si>
    <t xml:space="preserve">Customer service</t>
  </si>
  <si>
    <t xml:space="preserve">BD87</t>
  </si>
  <si>
    <t xml:space="preserve">EX-012</t>
  </si>
  <si>
    <t xml:space="preserve">Integration Suite landing zone: naming, transport (cTMS), monitoring in Cloud ALM</t>
  </si>
  <si>
    <t xml:space="preserve">Integration Suite just started; no standards yet, risk of new debt.</t>
  </si>
  <si>
    <t xml:space="preserve">EX-013</t>
  </si>
  <si>
    <t xml:space="preserve">Replace custom ALV reports with standard analytical Fiori apps / CDS</t>
  </si>
  <si>
    <t xml:space="preserve">40+ Z-reports duplicate standard analytics.</t>
  </si>
  <si>
    <t xml:space="preserve">Q3-2027</t>
  </si>
  <si>
    <t xml:space="preserve">EX-014</t>
  </si>
  <si>
    <t xml:space="preserve">Work Zone site for plant supervisors (Fiori + non-SAP tiles)</t>
  </si>
  <si>
    <t xml:space="preserve">Supervisors switch between 5 tools per shift.</t>
  </si>
  <si>
    <t xml:space="preserve">Depends on EX-003</t>
  </si>
  <si>
    <t xml:space="preserve">EX-015</t>
  </si>
  <si>
    <t xml:space="preserve">Move transport management to Cloud ALM Change &amp; Deployment</t>
  </si>
  <si>
    <t xml:space="preserve">Manual transport sequencing causes import errors.</t>
  </si>
  <si>
    <t xml:space="preserve">EX-016</t>
  </si>
  <si>
    <t xml:space="preserve">Delivery note form prints wrong plant address</t>
  </si>
  <si>
    <t xml:space="preserve">Cosmetic; workaround exists.</t>
  </si>
  <si>
    <t xml:space="preserve">P4</t>
  </si>
  <si>
    <t xml:space="preserve">Shipping</t>
  </si>
  <si>
    <t xml:space="preserve">Backlog</t>
  </si>
  <si>
    <t xml:space="preserve">EX-017</t>
  </si>
  <si>
    <t xml:space="preserve">Z-field duplicates standard field (sales region on customer)</t>
  </si>
  <si>
    <t xml:space="preserve">Same value kept in two places; reports disagree.</t>
  </si>
  <si>
    <t xml:space="preserve">EX-018</t>
  </si>
  <si>
    <t xml:space="preserve">Automated regression tests for top 20 end-to-end processes</t>
  </si>
  <si>
    <t xml:space="preserve">Manual testing makes every change risky and slow.</t>
  </si>
  <si>
    <t xml:space="preserve">QA lead</t>
  </si>
  <si>
    <t xml:space="preserve">Cloud ALM test management + automation tool</t>
  </si>
  <si>
    <t xml:space="preserve">EX-019</t>
  </si>
  <si>
    <t xml:space="preserve">PI/PO interface inventory and migration wave plan</t>
  </si>
  <si>
    <t xml:space="preserve">Legacy middleware approaching end of mainstream maintenance.</t>
  </si>
  <si>
    <t xml:space="preserve">Only if PI/PO is in landscape - confirm</t>
  </si>
  <si>
    <t xml:space="preserve">EX-020</t>
  </si>
  <si>
    <t xml:space="preserve">Joule / AI use-case readiness spike</t>
  </si>
  <si>
    <t xml:space="preserve">Business asking for AI features; need readiness view (licensing, clean core, data).</t>
  </si>
  <si>
    <t xml:space="preserve">Enterprise architect</t>
  </si>
  <si>
    <t xml:space="preserve">Timeboxed spike</t>
  </si>
  <si>
    <t xml:space="preserve">Capacity Allocation &amp; Budget Guardrails</t>
  </si>
  <si>
    <t xml:space="preserve">Fund a stable team, then split its capacity by work type. Yellow = inputs. Demand is pulled live from the register (Principal person-days, open items).</t>
  </si>
  <si>
    <t xml:space="preserve">1. Capacity by quarter</t>
  </si>
  <si>
    <t xml:space="preserve">Quarter</t>
  </si>
  <si>
    <t xml:space="preserve">Team FTE</t>
  </si>
  <si>
    <t xml:space="preserve">Working days</t>
  </si>
  <si>
    <t xml:space="preserve">Availability %</t>
  </si>
  <si>
    <t xml:space="preserve">Capacity (person-days)</t>
  </si>
  <si>
    <t xml:space="preserve">Budget cap (USD)</t>
  </si>
  <si>
    <t xml:space="preserve">Capacity cost (USD)</t>
  </si>
  <si>
    <t xml:space="preserve">Within budget?</t>
  </si>
  <si>
    <t xml:space="preserve">Note</t>
  </si>
  <si>
    <t xml:space="preserve">FTE and budget caps are placeholders. Capacity cost = FTE x working days x day rate (Settings).</t>
  </si>
  <si>
    <t xml:space="preserve">Q4-2027</t>
  </si>
  <si>
    <t xml:space="preserve">2. Allocation guardrails (% of capacity by work type) - must total 100%</t>
  </si>
  <si>
    <t xml:space="preserve">Check</t>
  </si>
  <si>
    <t xml:space="preserve">3. Planned capacity (person-days) vs open demand from register</t>
  </si>
  <si>
    <t xml:space="preserve">Feature - capacity</t>
  </si>
  <si>
    <t xml:space="preserve">Feature - demand</t>
  </si>
  <si>
    <t xml:space="preserve">Defect - capacity</t>
  </si>
  <si>
    <t xml:space="preserve">Defect - demand</t>
  </si>
  <si>
    <t xml:space="preserve">Tech Debt - capacity</t>
  </si>
  <si>
    <t xml:space="preserve">Tech Debt - demand</t>
  </si>
  <si>
    <t xml:space="preserve">Enabler - capacity</t>
  </si>
  <si>
    <t xml:space="preserve">Enabler - demand</t>
  </si>
  <si>
    <t xml:space="preserve">Risk/Compliance - capacity</t>
  </si>
  <si>
    <t xml:space="preserve">Risk/Compliance - demand</t>
  </si>
  <si>
    <t xml:space="preserve">Total capacity</t>
  </si>
  <si>
    <t xml:space="preserve">Total demand</t>
  </si>
  <si>
    <t xml:space="preserve">Gap (+ = spare)</t>
  </si>
  <si>
    <t xml:space="preserve">Amber = demand for that work type exceeds its guardrail -&gt; re-prioritise, move the quarter, or consciously flex the allocation at the monthly portfolio review.</t>
  </si>
  <si>
    <t xml:space="preserve">Rule of thumb: never let Tech Debt + Enabler drop below ~25% while clean-core KPIs are red; P1/P2 defects are funded from the Defect bucket first.</t>
  </si>
  <si>
    <t xml:space="preserve">15-Month Roadmap (Oct 2026 - Dec 2027)</t>
  </si>
  <si>
    <t xml:space="preserve">Enter start / end dates; bars draw automatically. Dates are proposals for discussion.</t>
  </si>
  <si>
    <t xml:space="preserve">Workstream</t>
  </si>
  <si>
    <t xml:space="preserve">Activity</t>
  </si>
  <si>
    <t xml:space="preserve">Owner</t>
  </si>
  <si>
    <t xml:space="preserve">Start</t>
  </si>
  <si>
    <t xml:space="preserve">End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</si>
  <si>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</si>
  <si>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</si>
  <si>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</si>
  <si>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</si>
  <si>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</si>
  <si>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</si>
  <si>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</si>
  <si>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</si>
  <si>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</si>
  <si>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</si>
  <si>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</si>
  <si>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</si>
  <si>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</si>
  <si>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</si>
  <si>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</si>
  <si>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Governance</t>
  </si>
  <si>
    <t xml:space="preserve">Stand up CCoE / design authority, backlog tool, cadences</t>
  </si>
  <si>
    <t xml:space="preserve">EA + CIO office</t>
  </si>
  <si>
    <t xml:space="preserve">Discovery &amp; baseline (Readiness Check, Pathfinder, ATC, SCMON, interface + data inventory)</t>
  </si>
  <si>
    <t xml:space="preserve">EA</t>
  </si>
  <si>
    <t xml:space="preserve">Monthly portfolio review + quarterly roadmap refresh</t>
  </si>
  <si>
    <t xml:space="preserve">UX / Fiori</t>
  </si>
  <si>
    <t xml:space="preserve">Fiori foundation: FLP, spaces &amp; pages, roles, performance</t>
  </si>
  <si>
    <t xml:space="preserve">Basis / Fiori lead</t>
  </si>
  <si>
    <t xml:space="preserve">Wave 1 Fiori apps: Finance (AP/AR/GL)</t>
  </si>
  <si>
    <t xml:space="preserve">Finance + Fiori lead</t>
  </si>
  <si>
    <t xml:space="preserve">Wave 2 Fiori apps: Supply chain (MRP, inventory, purchasing)</t>
  </si>
  <si>
    <t xml:space="preserve">SCM + Fiori lead</t>
  </si>
  <si>
    <t xml:space="preserve">Wave 3 Fiori apps: Sales, quality, maintenance</t>
  </si>
  <si>
    <t xml:space="preserve">Business leads</t>
  </si>
  <si>
    <t xml:space="preserve">Work Zone</t>
  </si>
  <si>
    <t xml:space="preserve">Work Zone standard: subaccount, IdP, content federation</t>
  </si>
  <si>
    <t xml:space="preserve">BTP lead</t>
  </si>
  <si>
    <t xml:space="preserve">Pilot site (finance) then plant supervisor site</t>
  </si>
  <si>
    <t xml:space="preserve">Integration Suite landing zone + standards + monitoring</t>
  </si>
  <si>
    <t xml:space="preserve">Interface inventory, ISA-M classification, wave plan</t>
  </si>
  <si>
    <t xml:space="preserve">Migration waves 1-3 (P2P / PI-PO -&gt; Integration Suite)</t>
  </si>
  <si>
    <t xml:space="preserve">Custom field inventory + map to standard / Custom Fields app</t>
  </si>
  <si>
    <t xml:space="preserve">Data quality rules, owners, dashboard; BP de-duplication</t>
  </si>
  <si>
    <t xml:space="preserve">MDG / governance tool decision + implementation start</t>
  </si>
  <si>
    <t xml:space="preserve">Clean Core</t>
  </si>
  <si>
    <t xml:space="preserve">Retire unused custom code</t>
  </si>
  <si>
    <t xml:space="preserve">ABAP lead</t>
  </si>
  <si>
    <t xml:space="preserve">Remediate Level C/D objects; new builds ABAP Cloud / BTP only</t>
  </si>
  <si>
    <t xml:space="preserve">Platform / Ops</t>
  </si>
  <si>
    <t xml:space="preserve">Cloud ALM: requirements, test mgmt, change &amp; deployment, monitoring</t>
  </si>
  <si>
    <t xml:space="preserve">Test automation for top-20 processes</t>
  </si>
  <si>
    <t xml:space="preserve">Release / FPS upgrade (target release TBC)</t>
  </si>
  <si>
    <t xml:space="preserve">Innovation</t>
  </si>
  <si>
    <t xml:space="preserve">AI / Joule readiness spike + Build Process Automation pilots</t>
  </si>
  <si>
    <t xml:space="preserve">Operating Cadence - Grooming, Review &amp; Repetition</t>
  </si>
  <si>
    <t xml:space="preserve">The rhythm that keeps the backlog healthy and progress visible.</t>
  </si>
  <si>
    <t xml:space="preserve">Ceremony</t>
  </si>
  <si>
    <t xml:space="preserve">Frequency</t>
  </si>
  <si>
    <t xml:space="preserve">Duration</t>
  </si>
  <si>
    <t xml:space="preserve">Participants</t>
  </si>
  <si>
    <t xml:space="preserve">Inputs</t>
  </si>
  <si>
    <t xml:space="preserve">Outputs / decisions</t>
  </si>
  <si>
    <t xml:space="preserve">Stand-up (per team)</t>
  </si>
  <si>
    <t xml:space="preserve">Daily</t>
  </si>
  <si>
    <t xml:space="preserve">15 min</t>
  </si>
  <si>
    <t xml:space="preserve">Delivery team</t>
  </si>
  <si>
    <t xml:space="preserve">Board</t>
  </si>
  <si>
    <t xml:space="preserve">Blockers raised; WIP respected</t>
  </si>
  <si>
    <t xml:space="preserve">Scrum master</t>
  </si>
  <si>
    <t xml:space="preserve">Intake triage</t>
  </si>
  <si>
    <t xml:space="preserve">Weekly</t>
  </si>
  <si>
    <t xml:space="preserve">45 min</t>
  </si>
  <si>
    <t xml:space="preserve">Product owner, functional leads, AMS lead</t>
  </si>
  <si>
    <t xml:space="preserve">New requests, incidents, ATC/monitoring findings</t>
  </si>
  <si>
    <t xml:space="preserve">Classify type, dimension, severity; P1/P2 -&gt; expedite; reject duplicates</t>
  </si>
  <si>
    <t xml:space="preserve">Product owner</t>
  </si>
  <si>
    <t xml:space="preserve">Backlog refinement (grooming)</t>
  </si>
  <si>
    <t xml:space="preserve">Weekly / bi-weekly</t>
  </si>
  <si>
    <t xml:space="preserve">60-90 min</t>
  </si>
  <si>
    <t xml:space="preserve">PO, leads, architects</t>
  </si>
  <si>
    <t xml:space="preserve">Top ~30 ranked items</t>
  </si>
  <si>
    <t xml:space="preserve">Sized, WSJF scored, Definition of Ready met</t>
  </si>
  <si>
    <t xml:space="preserve">Sprint planning</t>
  </si>
  <si>
    <t xml:space="preserve">Every 2 weeks</t>
  </si>
  <si>
    <t xml:space="preserve">2 h</t>
  </si>
  <si>
    <t xml:space="preserve">Delivery team, PO</t>
  </si>
  <si>
    <t xml:space="preserve">Ready items + capacity guardrails</t>
  </si>
  <si>
    <t xml:space="preserve">Sprint goal; mix per allocation %</t>
  </si>
  <si>
    <t xml:space="preserve">Sprint review / demo</t>
  </si>
  <si>
    <t xml:space="preserve">1 h</t>
  </si>
  <si>
    <t xml:space="preserve">Team + business users</t>
  </si>
  <si>
    <t xml:space="preserve">Done items</t>
  </si>
  <si>
    <t xml:space="preserve">Accepted work; feedback into backlog</t>
  </si>
  <si>
    <t xml:space="preserve">Retrospective</t>
  </si>
  <si>
    <t xml:space="preserve">Flow metrics</t>
  </si>
  <si>
    <t xml:space="preserve">1-2 improvement actions</t>
  </si>
  <si>
    <t xml:space="preserve">Architecture / design authority</t>
  </si>
  <si>
    <t xml:space="preserve">Bi-weekly</t>
  </si>
  <si>
    <t xml:space="preserve">60 min</t>
  </si>
  <si>
    <t xml:space="preserve">EA, BTP, integration, data, security</t>
  </si>
  <si>
    <t xml:space="preserve">New designs, clean core exceptions</t>
  </si>
  <si>
    <t xml:space="preserve">Approve extension pattern (A-D level), integration pattern (ISA-M)</t>
  </si>
  <si>
    <t xml:space="preserve">Portfolio &amp; capacity review</t>
  </si>
  <si>
    <t xml:space="preserve">Monthly</t>
  </si>
  <si>
    <t xml:space="preserve">CIO, business process owners, PO, EA</t>
  </si>
  <si>
    <t xml:space="preserve">KPI dashboard, capacity vs demand</t>
  </si>
  <si>
    <t xml:space="preserve">Re-balance allocation %, approve epics, budget check</t>
  </si>
  <si>
    <t xml:space="preserve">Roadmap refresh / PI planning</t>
  </si>
  <si>
    <t xml:space="preserve">Quarterly</t>
  </si>
  <si>
    <t xml:space="preserve">0.5-1 day</t>
  </si>
  <si>
    <t xml:space="preserve">All leads + business</t>
  </si>
  <si>
    <t xml:space="preserve">Roadmap, KPI trends, SAP release news</t>
  </si>
  <si>
    <t xml:space="preserve">Next-quarter plan, re-ranked epics</t>
  </si>
  <si>
    <t xml:space="preserve">Tech debt register health check</t>
  </si>
  <si>
    <t xml:space="preserve">EA, dev lead, PO</t>
  </si>
  <si>
    <t xml:space="preserve">Stale items, ATC trend, SCMON data</t>
  </si>
  <si>
    <t xml:space="preserve">Close stale items, re-score, retire obsolete code</t>
  </si>
  <si>
    <t xml:space="preserve">SAP innovation scan</t>
  </si>
  <si>
    <t xml:space="preserve">Semi-annual</t>
  </si>
  <si>
    <t xml:space="preserve">Half day</t>
  </si>
  <si>
    <t xml:space="preserve">EA, leads, SAP CSP / partner</t>
  </si>
  <si>
    <t xml:space="preserve">Release notes, Pathfinder, Process Insights, Fiori app library</t>
  </si>
  <si>
    <t xml:space="preserve">New feature candidates added to backlog</t>
  </si>
  <si>
    <t xml:space="preserve">Sprint Tracker &amp; Flow Distribution</t>
  </si>
  <si>
    <t xml:space="preserve">Enter story points planned and completed per work type each sprint. Flow distribution shows where capacity really went.</t>
  </si>
  <si>
    <t xml:space="preserve">Sprint</t>
  </si>
  <si>
    <t xml:space="preserve">Capacity (pts)</t>
  </si>
  <si>
    <t xml:space="preserve">Planned - Feature</t>
  </si>
  <si>
    <t xml:space="preserve">Planned - Defect</t>
  </si>
  <si>
    <t xml:space="preserve">Planned - Tech Debt</t>
  </si>
  <si>
    <t xml:space="preserve">Planned - Enabler</t>
  </si>
  <si>
    <t xml:space="preserve">Planned - Risk/Compliance</t>
  </si>
  <si>
    <t xml:space="preserve">Done - Feature</t>
  </si>
  <si>
    <t xml:space="preserve">Done - Defect</t>
  </si>
  <si>
    <t xml:space="preserve">Done - Tech Debt</t>
  </si>
  <si>
    <t xml:space="preserve">Done - Enabler</t>
  </si>
  <si>
    <t xml:space="preserve">Done - Risk/Compliance</t>
  </si>
  <si>
    <t xml:space="preserve">Planned total</t>
  </si>
  <si>
    <t xml:space="preserve">Done total</t>
  </si>
  <si>
    <t xml:space="preserve">Say/Do %</t>
  </si>
  <si>
    <t xml:space="preserve">Tech Debt share of done %</t>
  </si>
  <si>
    <t xml:space="preserve">Defect share of done %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</si>
  <si>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</si>
  <si>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</si>
  <si>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</si>
  <si>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</si>
  <si>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</si>
  <si>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</si>
  <si>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</si>
  <si>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</si>
  <si>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</si>
  <si>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</si>
  <si>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</si>
  <si>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</si>
  <si>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</si>
  <si>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Row S01 contains example values showing the expected format - overwrite with actuals.</t>
  </si>
  <si>
    <t xml:space="preserve">Settings &amp; Assumptions</t>
  </si>
  <si>
    <t xml:space="preserve">Yellow cells are inputs. All values below are placeholders - replace with AmphenolCIT actuals.</t>
  </si>
  <si>
    <t xml:space="preserve">Setting</t>
  </si>
  <si>
    <t xml:space="preserve">Value</t>
  </si>
  <si>
    <t xml:space="preserve">Note / source</t>
  </si>
  <si>
    <t xml:space="preserve">Blended day rate (USD / person-day)</t>
  </si>
  <si>
    <t xml:space="preserve">Placeholder: blend of internal + AMS partner rates. Replace with finance-approved rate.</t>
  </si>
  <si>
    <t xml:space="preserve">Working days per quarter</t>
  </si>
  <si>
    <t xml:space="preserve">Assumption: ~12 weeks x 5 days after holidays.</t>
  </si>
  <si>
    <t xml:space="preserve">Team availability for backlog work (%)</t>
  </si>
  <si>
    <t xml:space="preserve">Assumption: 30% reserved for run/ops tickets, meetings, leave.</t>
  </si>
  <si>
    <t xml:space="preserve">Sprint length (working days)</t>
  </si>
  <si>
    <t xml:space="preserve">2-week sprints.</t>
  </si>
  <si>
    <t xml:space="preserve">Stale item threshold (days)</t>
  </si>
  <si>
    <t xml:space="preserve">Items older than this in New/Triaged are flagged in the register.</t>
  </si>
  <si>
    <t xml:space="preserve">Plan start date</t>
  </si>
  <si>
    <t xml:space="preserve">First sprint start (Monday).</t>
  </si>
  <si>
    <t xml:space="preserve">Lists (drop-down sources)</t>
  </si>
  <si>
    <t xml:space="preserve">Edit these lists to change the drop-downs in the Tech Debt Register. Keep one value per cell.</t>
  </si>
  <si>
    <t xml:space="preserve">ItemType</t>
  </si>
  <si>
    <t xml:space="preserve">Area</t>
  </si>
  <si>
    <t xml:space="preserve">Fib</t>
  </si>
  <si>
    <t xml:space="preserve">YesNo</t>
  </si>
  <si>
    <t xml:space="preserve">CCLevel</t>
  </si>
  <si>
    <t xml:space="preserve">Quadrant</t>
  </si>
  <si>
    <t xml:space="preserve">Severity</t>
  </si>
  <si>
    <t xml:space="preserve">P1</t>
  </si>
  <si>
    <t xml:space="preserve">CO</t>
  </si>
  <si>
    <t xml:space="preserve">QM</t>
  </si>
  <si>
    <t xml:space="preserve">PM</t>
  </si>
  <si>
    <t xml:space="preserve">Rejected</t>
  </si>
  <si>
    <t xml:space="preserve">EWM/WM</t>
  </si>
  <si>
    <t xml:space="preserve">Deferred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</si>
</sst>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\$#,##0"/>
    <numFmt numFmtId="168" formatCode="0%"/>
    <numFmt numFmtId="169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13B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sz val="8"/>
      <color rgb="FFFFFFFF"/>
      <name val="Arial"/>
      <family val="0"/>
      <charset val="1"/>
    </font>
    <font>
      <i val="true"/>
      <sz val="9"/>
      <color rgb="FF4B556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4CC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FECACA"/>
        <bgColor rgb="FFD9D9D9"/>
      </patternFill>
    </fill>
    <fill>
      <patternFill patternType="solid">
        <fgColor rgb="FF1731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BBF7D0"/>
        </patternFill>
      </fill>
    </dxf>
    <dxf>
      <fill>
        <patternFill>
          <bgColor rgb="FFFDE68A"/>
        </patternFill>
      </fill>
    </dxf>
    <dxf>
      <fill>
        <patternFill>
          <bgColor rgb="FFFECACA"/>
        </patternFill>
      </fill>
    </dxf>
    <dxf>
      <fill>
        <patternFill patternType="solid">
          <fgColor rgb="FF1731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0F766E"/>
      </font>
    </dxf>
    <dxf>
      <font>
        <color rgb="FF475569"/>
      </font>
      <fill>
        <patternFill>
          <bgColor rgb="FF475569"/>
        </patternFill>
      </fill>
    </dxf>
    <dxf>
      <font>
        <color rgb="FF0F766E"/>
      </font>
      <fill>
        <patternFill>
          <bgColor rgb="FF0F766E"/>
        </patternFill>
      </fill>
    </dxf>
    <dxf>
      <font>
        <color rgb="FF14B8A6"/>
      </font>
      <fill>
        <patternFill>
          <bgColor rgb="FF14B8A6"/>
        </patternFill>
      </fill>
    </dxf>
    <dxf>
      <font>
        <color rgb="FFB45309"/>
      </font>
      <fill>
        <patternFill>
          <bgColor rgb="FFB45309"/>
        </patternFill>
      </fill>
    </dxf>
    <dxf>
      <font>
        <color rgb="FF7C3AED"/>
      </font>
      <fill>
        <patternFill>
          <bgColor rgb="FF7C3AED"/>
        </patternFill>
      </fill>
    </dxf>
    <dxf>
      <font>
        <color rgb="FFBE123C"/>
      </font>
      <fill>
        <patternFill>
          <bgColor rgb="FFBE123C"/>
        </patternFill>
      </fill>
    </dxf>
    <dxf>
      <font>
        <color rgb="FF1D4ED8"/>
      </font>
      <fill>
        <patternFill>
          <bgColor rgb="FF1D4ED8"/>
        </patternFill>
      </fill>
    </dxf>
    <dxf>
      <font>
        <color rgb="FFF59E0B"/>
      </font>
      <fill>
        <patternFill>
          <bgColor rgb="FFF59E0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C3AED"/>
      <rgbColor rgb="FF0F766E"/>
      <rgbColor rgb="FFD9D9D9"/>
      <rgbColor rgb="FF878787"/>
      <rgbColor rgb="FF9999FF"/>
      <rgbColor rgb="FFC0504D"/>
      <rgbColor rgb="FFFFF4CC"/>
      <rgbColor rgb="FFF3F4F6"/>
      <rgbColor rgb="FF660066"/>
      <rgbColor rgb="FFF79646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DE68A"/>
      <rgbColor rgb="FF99CCFF"/>
      <rgbColor rgb="FFFF99CC"/>
      <rgbColor rgb="FFCC99FF"/>
      <rgbColor rgb="FFFECACA"/>
      <rgbColor rgb="FF4F81BD"/>
      <rgbColor rgb="FF14B8A6"/>
      <rgbColor rgb="FF9BBB59"/>
      <rgbColor rgb="FFFFCC00"/>
      <rgbColor rgb="FFF59E0B"/>
      <rgbColor rgb="FFB45309"/>
      <rgbColor rgb="FF8064A2"/>
      <rgbColor rgb="FF969696"/>
      <rgbColor rgb="FF003366"/>
      <rgbColor rgb="FF4BACC6"/>
      <rgbColor rgb="FF003300"/>
      <rgbColor rgb="FF4B5563"/>
      <rgbColor rgb="FF991B1B"/>
      <rgbColor rgb="FFBE123C"/>
      <rgbColor rgb="FF475569"/>
      <rgbColor rgb="FF1731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Backlog by type and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'KPI Dashboard'!B5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Dashboard'!$A$6:$A$10</c:f>
              <c:strCache>
                <c:ptCount val="5"/>
                <c:pt idx="0">
                  <c:v>Feature</c:v>
                </c:pt>
                <c:pt idx="1">
                  <c:v>Defect</c:v>
                </c:pt>
                <c:pt idx="2">
                  <c:v>Tech Debt</c:v>
                </c:pt>
                <c:pt idx="3">
                  <c:v>Enabler</c:v>
                </c:pt>
                <c:pt idx="4">
                  <c:v>Risk/Compliance</c:v>
                </c:pt>
              </c:strCache>
            </c:strRef>
          </c:cat>
          <c:val>
            <c:numRef>
              <c:f>'KPI Dashboard'!$B$6:$B$10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'KPI Dashboard'!C5</c:f>
              <c:strCache>
                <c:ptCount val="1"/>
                <c:pt idx="0">
                  <c:v>Triaged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Dashboard'!$A$6:$A$10</c:f>
              <c:strCache>
                <c:ptCount val="5"/>
                <c:pt idx="0">
                  <c:v>Feature</c:v>
                </c:pt>
                <c:pt idx="1">
                  <c:v>Defect</c:v>
                </c:pt>
                <c:pt idx="2">
                  <c:v>Tech Debt</c:v>
                </c:pt>
                <c:pt idx="3">
                  <c:v>Enabler</c:v>
                </c:pt>
                <c:pt idx="4">
                  <c:v>Risk/Compliance</c:v>
                </c:pt>
              </c:strCache>
            </c:strRef>
          </c:cat>
          <c:val>
            <c:numRef>
              <c:f>'KPI Dashboard'!$C$6:$C$10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'KPI Dashboard'!D5</c:f>
              <c:strCache>
                <c:ptCount val="1"/>
                <c:pt idx="0">
                  <c:v>Ready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Dashboard'!$A$6:$A$10</c:f>
              <c:strCache>
                <c:ptCount val="5"/>
                <c:pt idx="0">
                  <c:v>Feature</c:v>
                </c:pt>
                <c:pt idx="1">
                  <c:v>Defect</c:v>
                </c:pt>
                <c:pt idx="2">
                  <c:v>Tech Debt</c:v>
                </c:pt>
                <c:pt idx="3">
                  <c:v>Enabler</c:v>
                </c:pt>
                <c:pt idx="4">
                  <c:v>Risk/Compliance</c:v>
                </c:pt>
              </c:strCache>
            </c:strRef>
          </c:cat>
          <c:val>
            <c:numRef>
              <c:f>'KPI Dashboard'!$D$6:$D$10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'KPI Dashboard'!E5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Dashboard'!$A$6:$A$10</c:f>
              <c:strCache>
                <c:ptCount val="5"/>
                <c:pt idx="0">
                  <c:v>Feature</c:v>
                </c:pt>
                <c:pt idx="1">
                  <c:v>Defect</c:v>
                </c:pt>
                <c:pt idx="2">
                  <c:v>Tech Debt</c:v>
                </c:pt>
                <c:pt idx="3">
                  <c:v>Enabler</c:v>
                </c:pt>
                <c:pt idx="4">
                  <c:v>Risk/Compliance</c:v>
                </c:pt>
              </c:strCache>
            </c:strRef>
          </c:cat>
          <c:val>
            <c:numRef>
              <c:f>'KPI Dashboard'!$E$6:$E$10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'KPI Dashboard'!F5</c:f>
              <c:strCache>
                <c:ptCount val="1"/>
                <c:pt idx="0">
                  <c:v>Testing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Dashboard'!$A$6:$A$10</c:f>
              <c:strCache>
                <c:ptCount val="5"/>
                <c:pt idx="0">
                  <c:v>Feature</c:v>
                </c:pt>
                <c:pt idx="1">
                  <c:v>Defect</c:v>
                </c:pt>
                <c:pt idx="2">
                  <c:v>Tech Debt</c:v>
                </c:pt>
                <c:pt idx="3">
                  <c:v>Enabler</c:v>
                </c:pt>
                <c:pt idx="4">
                  <c:v>Risk/Compliance</c:v>
                </c:pt>
              </c:strCache>
            </c:strRef>
          </c:cat>
          <c:val>
            <c:numRef>
              <c:f>'KPI Dashboard'!$F$6:$F$10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'KPI Dashboard'!G5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Dashboard'!$A$6:$A$10</c:f>
              <c:strCache>
                <c:ptCount val="5"/>
                <c:pt idx="0">
                  <c:v>Feature</c:v>
                </c:pt>
                <c:pt idx="1">
                  <c:v>Defect</c:v>
                </c:pt>
                <c:pt idx="2">
                  <c:v>Tech Debt</c:v>
                </c:pt>
                <c:pt idx="3">
                  <c:v>Enabler</c:v>
                </c:pt>
                <c:pt idx="4">
                  <c:v>Risk/Compliance</c:v>
                </c:pt>
              </c:strCache>
            </c:strRef>
          </c:cat>
          <c:val>
            <c:numRef>
              <c:f>'KPI Dashboard'!$G$6:$G$10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60777249"/>
        <c:axId val="24437381"/>
      </c:barChart>
      <c:catAx>
        <c:axId val="60777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37381"/>
        <c:crosses val="autoZero"/>
        <c:auto val="1"/>
        <c:lblAlgn val="ctr"/>
        <c:lblOffset val="100"/>
        <c:noMultiLvlLbl val="0"/>
      </c:catAx>
      <c:valAx>
        <c:axId val="24437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77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131040</xdr:rowOff>
    </xdr:from>
    <xdr:to>
      <xdr:col>20</xdr:col>
      <xdr:colOff>255960</xdr:colOff>
      <xdr:row>15</xdr:row>
      <xdr:rowOff>99360</xdr:rowOff>
    </xdr:to>
    <xdr:graphicFrame>
      <xdr:nvGraphicFramePr>
        <xdr:cNvPr id="0" name="Chart 1"/>
        <xdr:cNvGraphicFramePr/>
      </xdr:nvGraphicFramePr>
      <xdr:xfrm>
        <a:off x="119595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3" customFormat="false" ht="15" hidden="false" customHeight="false" outlineLevel="0" collapsed="false">
      <c r="A13" s="5"/>
      <c r="B13" s="6"/>
    </row>
    <row r="14" customFormat="false" ht="15" hidden="false" customHeight="false" outlineLevel="0" collapsed="false">
      <c r="A14" s="3" t="s">
        <v>19</v>
      </c>
      <c r="B14" s="4"/>
    </row>
    <row r="15" customFormat="false" ht="15" hidden="false" customHeight="false" outlineLevel="0" collapsed="false">
      <c r="A15" s="7" t="s">
        <v>20</v>
      </c>
      <c r="B15" s="6" t="s">
        <v>21</v>
      </c>
    </row>
    <row r="16" customFormat="false" ht="15" hidden="false" customHeight="false" outlineLevel="0" collapsed="false">
      <c r="A16" s="8" t="s">
        <v>22</v>
      </c>
      <c r="B16" s="6" t="s">
        <v>23</v>
      </c>
    </row>
    <row r="17" customFormat="false" ht="15" hidden="false" customHeight="false" outlineLevel="0" collapsed="false">
      <c r="A17" s="9" t="s">
        <v>24</v>
      </c>
      <c r="B17" s="6" t="s">
        <v>25</v>
      </c>
    </row>
    <row r="18" customFormat="false" ht="15" hidden="false" customHeight="false" outlineLevel="0" collapsed="false">
      <c r="A18" s="5"/>
      <c r="B18" s="6"/>
    </row>
    <row r="19" customFormat="false" ht="15" hidden="false" customHeight="false" outlineLevel="0" collapsed="false">
      <c r="A19" s="3" t="s">
        <v>26</v>
      </c>
      <c r="B19" s="4"/>
    </row>
    <row r="20" customFormat="false" ht="23.85" hidden="false" customHeight="false" outlineLevel="0" collapsed="false">
      <c r="A20" s="10" t="s">
        <v>27</v>
      </c>
      <c r="B20" s="6" t="s">
        <v>28</v>
      </c>
    </row>
    <row r="21" customFormat="false" ht="15" hidden="false" customHeight="false" outlineLevel="0" collapsed="false">
      <c r="A21" s="10" t="s">
        <v>29</v>
      </c>
      <c r="B21" s="6" t="s">
        <v>30</v>
      </c>
    </row>
    <row r="22" customFormat="false" ht="15" hidden="false" customHeight="false" outlineLevel="0" collapsed="false">
      <c r="A22" s="10" t="s">
        <v>31</v>
      </c>
      <c r="B22" s="6" t="s">
        <v>32</v>
      </c>
    </row>
    <row r="23" customFormat="false" ht="15" hidden="false" customHeight="false" outlineLevel="0" collapsed="false">
      <c r="A23" s="10" t="s">
        <v>33</v>
      </c>
      <c r="B23" s="6" t="s">
        <v>34</v>
      </c>
    </row>
    <row r="24" customFormat="false" ht="15" hidden="false" customHeight="false" outlineLevel="0" collapsed="false">
      <c r="A24" s="10" t="s">
        <v>35</v>
      </c>
      <c r="B24" s="6" t="s">
        <v>36</v>
      </c>
    </row>
    <row r="25" customFormat="false" ht="23.85" hidden="false" customHeight="false" outlineLevel="0" collapsed="false">
      <c r="A25" s="10" t="s">
        <v>37</v>
      </c>
      <c r="B25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32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5" t="s">
        <v>41</v>
      </c>
    </row>
    <row r="5" customFormat="false" ht="35.05" hidden="false" customHeight="false" outlineLevel="0" collapsed="false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  <c r="F5" s="11" t="s">
        <v>47</v>
      </c>
      <c r="G5" s="11" t="s">
        <v>48</v>
      </c>
      <c r="H5" s="11" t="s">
        <v>49</v>
      </c>
      <c r="I5" s="11" t="s">
        <v>50</v>
      </c>
      <c r="J5" s="11" t="s">
        <v>51</v>
      </c>
    </row>
    <row r="6" customFormat="false" ht="15" hidden="false" customHeight="false" outlineLevel="0" collapsed="false">
      <c r="A6" s="12" t="s">
        <v>31</v>
      </c>
      <c r="B6" s="13" t="n">
        <f aca="false">COUNTIFS('Tech Debt Register'!$C$5:$C$204,$A6,'Tech Debt Register'!$X$5:$X$204,"New")</f>
        <v>3</v>
      </c>
      <c r="C6" s="13" t="n">
        <f aca="false">COUNTIFS('Tech Debt Register'!$C$5:$C$204,$A6,'Tech Debt Register'!$X$5:$X$204,"Triaged")</f>
        <v>0</v>
      </c>
      <c r="D6" s="13" t="n">
        <f aca="false">COUNTIFS('Tech Debt Register'!$C$5:$C$204,$A6,'Tech Debt Register'!$X$5:$X$204,"Ready")</f>
        <v>1</v>
      </c>
      <c r="E6" s="13" t="n">
        <f aca="false">COUNTIFS('Tech Debt Register'!$C$5:$C$204,$A6,'Tech Debt Register'!$X$5:$X$204,"In Progress")</f>
        <v>0</v>
      </c>
      <c r="F6" s="13" t="n">
        <f aca="false">COUNTIFS('Tech Debt Register'!$C$5:$C$204,$A6,'Tech Debt Register'!$X$5:$X$204,"Testing")</f>
        <v>0</v>
      </c>
      <c r="G6" s="13" t="n">
        <f aca="false">COUNTIFS('Tech Debt Register'!$C$5:$C$204,$A6,'Tech Debt Register'!$X$5:$X$204,"Done")</f>
        <v>0</v>
      </c>
      <c r="H6" s="13" t="n">
        <f aca="false">SUM(B6:F6)</f>
        <v>4</v>
      </c>
      <c r="I6" s="13" t="n">
        <f aca="false">SUMIFS('Tech Debt Register'!$R$5:$R$204,'Tech Debt Register'!$C$5:$C$204,$A6,'Tech Debt Register'!$X$5:$X$204,"&lt;&gt;Done",'Tech Debt Register'!$X$5:$X$204,"&lt;&gt;Rejected")</f>
        <v>50</v>
      </c>
      <c r="J6" s="14" t="n">
        <f aca="false">IFERROR(AVERAGEIFS('Tech Debt Register'!$O$5:$O$204,'Tech Debt Register'!$C$5:$C$204,$A6,'Tech Debt Register'!$X$5:$X$204,"&lt;&gt;Done",'Tech Debt Register'!$X$5:$X$204,"&lt;&gt;Rejected"),"")</f>
        <v>5.125</v>
      </c>
    </row>
    <row r="7" customFormat="false" ht="15" hidden="false" customHeight="false" outlineLevel="0" collapsed="false">
      <c r="A7" s="12" t="s">
        <v>29</v>
      </c>
      <c r="B7" s="13" t="n">
        <f aca="false">COUNTIFS('Tech Debt Register'!$C$5:$C$204,$A7,'Tech Debt Register'!$X$5:$X$204,"New")</f>
        <v>1</v>
      </c>
      <c r="C7" s="13" t="n">
        <f aca="false">COUNTIFS('Tech Debt Register'!$C$5:$C$204,$A7,'Tech Debt Register'!$X$5:$X$204,"Triaged")</f>
        <v>0</v>
      </c>
      <c r="D7" s="13" t="n">
        <f aca="false">COUNTIFS('Tech Debt Register'!$C$5:$C$204,$A7,'Tech Debt Register'!$X$5:$X$204,"Ready")</f>
        <v>0</v>
      </c>
      <c r="E7" s="13" t="n">
        <f aca="false">COUNTIFS('Tech Debt Register'!$C$5:$C$204,$A7,'Tech Debt Register'!$X$5:$X$204,"In Progress")</f>
        <v>2</v>
      </c>
      <c r="F7" s="13" t="n">
        <f aca="false">COUNTIFS('Tech Debt Register'!$C$5:$C$204,$A7,'Tech Debt Register'!$X$5:$X$204,"Testing")</f>
        <v>0</v>
      </c>
      <c r="G7" s="13" t="n">
        <f aca="false">COUNTIFS('Tech Debt Register'!$C$5:$C$204,$A7,'Tech Debt Register'!$X$5:$X$204,"Done")</f>
        <v>0</v>
      </c>
      <c r="H7" s="13" t="n">
        <f aca="false">SUM(B7:F7)</f>
        <v>3</v>
      </c>
      <c r="I7" s="13" t="n">
        <f aca="false">SUMIFS('Tech Debt Register'!$R$5:$R$204,'Tech Debt Register'!$C$5:$C$204,$A7,'Tech Debt Register'!$X$5:$X$204,"&lt;&gt;Done",'Tech Debt Register'!$X$5:$X$204,"&lt;&gt;Rejected")</f>
        <v>8</v>
      </c>
      <c r="J7" s="14" t="n">
        <f aca="false">IFERROR(AVERAGEIFS('Tech Debt Register'!$O$5:$O$204,'Tech Debt Register'!$C$5:$C$204,$A7,'Tech Debt Register'!$X$5:$X$204,"&lt;&gt;Done",'Tech Debt Register'!$X$5:$X$204,"&lt;&gt;Rejected"),"")</f>
        <v>8.83333333333333</v>
      </c>
    </row>
    <row r="8" customFormat="false" ht="15" hidden="false" customHeight="false" outlineLevel="0" collapsed="false">
      <c r="A8" s="12" t="s">
        <v>27</v>
      </c>
      <c r="B8" s="13" t="n">
        <f aca="false">COUNTIFS('Tech Debt Register'!$C$5:$C$204,$A8,'Tech Debt Register'!$X$5:$X$204,"New")</f>
        <v>2</v>
      </c>
      <c r="C8" s="13" t="n">
        <f aca="false">COUNTIFS('Tech Debt Register'!$C$5:$C$204,$A8,'Tech Debt Register'!$X$5:$X$204,"Triaged")</f>
        <v>4</v>
      </c>
      <c r="D8" s="13" t="n">
        <f aca="false">COUNTIFS('Tech Debt Register'!$C$5:$C$204,$A8,'Tech Debt Register'!$X$5:$X$204,"Ready")</f>
        <v>1</v>
      </c>
      <c r="E8" s="13" t="n">
        <f aca="false">COUNTIFS('Tech Debt Register'!$C$5:$C$204,$A8,'Tech Debt Register'!$X$5:$X$204,"In Progress")</f>
        <v>0</v>
      </c>
      <c r="F8" s="13" t="n">
        <f aca="false">COUNTIFS('Tech Debt Register'!$C$5:$C$204,$A8,'Tech Debt Register'!$X$5:$X$204,"Testing")</f>
        <v>0</v>
      </c>
      <c r="G8" s="13" t="n">
        <f aca="false">COUNTIFS('Tech Debt Register'!$C$5:$C$204,$A8,'Tech Debt Register'!$X$5:$X$204,"Done")</f>
        <v>0</v>
      </c>
      <c r="H8" s="13" t="n">
        <f aca="false">SUM(B8:F8)</f>
        <v>7</v>
      </c>
      <c r="I8" s="13" t="n">
        <f aca="false">SUMIFS('Tech Debt Register'!$R$5:$R$204,'Tech Debt Register'!$C$5:$C$204,$A8,'Tech Debt Register'!$X$5:$X$204,"&lt;&gt;Done",'Tech Debt Register'!$X$5:$X$204,"&lt;&gt;Rejected")</f>
        <v>188</v>
      </c>
      <c r="J8" s="14" t="n">
        <f aca="false">IFERROR(AVERAGEIFS('Tech Debt Register'!$O$5:$O$204,'Tech Debt Register'!$C$5:$C$204,$A8,'Tech Debt Register'!$X$5:$X$204,"&lt;&gt;Done",'Tech Debt Register'!$X$5:$X$204,"&lt;&gt;Rejected"),"")</f>
        <v>3.22857142857143</v>
      </c>
    </row>
    <row r="9" customFormat="false" ht="15" hidden="false" customHeight="false" outlineLevel="0" collapsed="false">
      <c r="A9" s="12" t="s">
        <v>33</v>
      </c>
      <c r="B9" s="13" t="n">
        <f aca="false">COUNTIFS('Tech Debt Register'!$C$5:$C$204,$A9,'Tech Debt Register'!$X$5:$X$204,"New")</f>
        <v>2</v>
      </c>
      <c r="C9" s="13" t="n">
        <f aca="false">COUNTIFS('Tech Debt Register'!$C$5:$C$204,$A9,'Tech Debt Register'!$X$5:$X$204,"Triaged")</f>
        <v>0</v>
      </c>
      <c r="D9" s="13" t="n">
        <f aca="false">COUNTIFS('Tech Debt Register'!$C$5:$C$204,$A9,'Tech Debt Register'!$X$5:$X$204,"Ready")</f>
        <v>2</v>
      </c>
      <c r="E9" s="13" t="n">
        <f aca="false">COUNTIFS('Tech Debt Register'!$C$5:$C$204,$A9,'Tech Debt Register'!$X$5:$X$204,"In Progress")</f>
        <v>0</v>
      </c>
      <c r="F9" s="13" t="n">
        <f aca="false">COUNTIFS('Tech Debt Register'!$C$5:$C$204,$A9,'Tech Debt Register'!$X$5:$X$204,"Testing")</f>
        <v>0</v>
      </c>
      <c r="G9" s="13" t="n">
        <f aca="false">COUNTIFS('Tech Debt Register'!$C$5:$C$204,$A9,'Tech Debt Register'!$X$5:$X$204,"Done")</f>
        <v>0</v>
      </c>
      <c r="H9" s="13" t="n">
        <f aca="false">SUM(B9:F9)</f>
        <v>4</v>
      </c>
      <c r="I9" s="13" t="n">
        <f aca="false">SUMIFS('Tech Debt Register'!$R$5:$R$204,'Tech Debt Register'!$C$5:$C$204,$A9,'Tech Debt Register'!$X$5:$X$204,"&lt;&gt;Done",'Tech Debt Register'!$X$5:$X$204,"&lt;&gt;Rejected")</f>
        <v>97</v>
      </c>
      <c r="J9" s="14" t="n">
        <f aca="false">IFERROR(AVERAGEIFS('Tech Debt Register'!$O$5:$O$204,'Tech Debt Register'!$C$5:$C$204,$A9,'Tech Debt Register'!$X$5:$X$204,"&lt;&gt;Done",'Tech Debt Register'!$X$5:$X$204,"&lt;&gt;Rejected"),"")</f>
        <v>3.8</v>
      </c>
    </row>
    <row r="10" customFormat="false" ht="15" hidden="false" customHeight="false" outlineLevel="0" collapsed="false">
      <c r="A10" s="12" t="s">
        <v>35</v>
      </c>
      <c r="B10" s="13" t="n">
        <f aca="false">COUNTIFS('Tech Debt Register'!$C$5:$C$204,$A10,'Tech Debt Register'!$X$5:$X$204,"New")</f>
        <v>1</v>
      </c>
      <c r="C10" s="13" t="n">
        <f aca="false">COUNTIFS('Tech Debt Register'!$C$5:$C$204,$A10,'Tech Debt Register'!$X$5:$X$204,"Triaged")</f>
        <v>1</v>
      </c>
      <c r="D10" s="13" t="n">
        <f aca="false">COUNTIFS('Tech Debt Register'!$C$5:$C$204,$A10,'Tech Debt Register'!$X$5:$X$204,"Ready")</f>
        <v>0</v>
      </c>
      <c r="E10" s="13" t="n">
        <f aca="false">COUNTIFS('Tech Debt Register'!$C$5:$C$204,$A10,'Tech Debt Register'!$X$5:$X$204,"In Progress")</f>
        <v>0</v>
      </c>
      <c r="F10" s="13" t="n">
        <f aca="false">COUNTIFS('Tech Debt Register'!$C$5:$C$204,$A10,'Tech Debt Register'!$X$5:$X$204,"Testing")</f>
        <v>0</v>
      </c>
      <c r="G10" s="13" t="n">
        <f aca="false">COUNTIFS('Tech Debt Register'!$C$5:$C$204,$A10,'Tech Debt Register'!$X$5:$X$204,"Done")</f>
        <v>0</v>
      </c>
      <c r="H10" s="13" t="n">
        <f aca="false">SUM(B10:F10)</f>
        <v>2</v>
      </c>
      <c r="I10" s="13" t="n">
        <f aca="false">SUMIFS('Tech Debt Register'!$R$5:$R$204,'Tech Debt Register'!$C$5:$C$204,$A10,'Tech Debt Register'!$X$5:$X$204,"&lt;&gt;Done",'Tech Debt Register'!$X$5:$X$204,"&lt;&gt;Rejected")</f>
        <v>55</v>
      </c>
      <c r="J10" s="14" t="n">
        <f aca="false">IFERROR(AVERAGEIFS('Tech Debt Register'!$O$5:$O$204,'Tech Debt Register'!$C$5:$C$204,$A10,'Tech Debt Register'!$X$5:$X$204,"&lt;&gt;Done",'Tech Debt Register'!$X$5:$X$204,"&lt;&gt;Rejected"),"")</f>
        <v>3.7</v>
      </c>
    </row>
    <row r="11" customFormat="false" ht="15" hidden="false" customHeight="false" outlineLevel="0" collapsed="false">
      <c r="A11" s="5" t="s">
        <v>52</v>
      </c>
      <c r="B11" s="12" t="n">
        <f aca="false">SUM(B6:B10)</f>
        <v>9</v>
      </c>
      <c r="C11" s="12" t="n">
        <f aca="false">SUM(C6:C10)</f>
        <v>5</v>
      </c>
      <c r="D11" s="12" t="n">
        <f aca="false">SUM(D6:D10)</f>
        <v>4</v>
      </c>
      <c r="E11" s="12" t="n">
        <f aca="false">SUM(E6:E10)</f>
        <v>2</v>
      </c>
      <c r="F11" s="12" t="n">
        <f aca="false">SUM(F6:F10)</f>
        <v>0</v>
      </c>
      <c r="G11" s="12" t="n">
        <f aca="false">SUM(G6:G10)</f>
        <v>0</v>
      </c>
      <c r="H11" s="12" t="n">
        <f aca="false">SUM(H6:H10)</f>
        <v>20</v>
      </c>
      <c r="I11" s="12" t="n">
        <f aca="false">SUM(I6:I10)</f>
        <v>398</v>
      </c>
    </row>
    <row r="13" customFormat="false" ht="15" hidden="false" customHeight="false" outlineLevel="0" collapsed="false">
      <c r="A13" s="5" t="s">
        <v>53</v>
      </c>
    </row>
    <row r="14" customFormat="false" ht="15" hidden="false" customHeight="false" outlineLevel="0" collapsed="false">
      <c r="A14" s="15" t="s">
        <v>54</v>
      </c>
      <c r="B14" s="15"/>
      <c r="C14" s="15"/>
      <c r="D14" s="15"/>
      <c r="E14" s="16" t="n">
        <f aca="false">COUNTIF('Tech Debt Register'!$AC$5:$AC$204,"STALE")</f>
        <v>1</v>
      </c>
    </row>
    <row r="15" customFormat="false" ht="15" hidden="false" customHeight="false" outlineLevel="0" collapsed="false">
      <c r="A15" s="15" t="s">
        <v>55</v>
      </c>
      <c r="B15" s="15"/>
      <c r="C15" s="15"/>
      <c r="D15" s="15"/>
      <c r="E15" s="16" t="n">
        <f aca="false">COUNTIFS('Tech Debt Register'!$I$5:$I$204,"Y",'Tech Debt Register'!$X$5:$X$204,"&lt;&gt;Done",'Tech Debt Register'!$X$5:$X$204,"&lt;&gt;Rejected")</f>
        <v>10</v>
      </c>
    </row>
    <row r="16" customFormat="false" ht="15" hidden="false" customHeight="false" outlineLevel="0" collapsed="false">
      <c r="A16" s="15" t="s">
        <v>56</v>
      </c>
      <c r="B16" s="15"/>
      <c r="C16" s="15"/>
      <c r="D16" s="15"/>
      <c r="E16" s="16" t="n">
        <f aca="false">COUNTIFS('Tech Debt Register'!$H$5:$H$204,"C",'Tech Debt Register'!$X$5:$X$204,"&lt;&gt;Done")+COUNTIFS('Tech Debt Register'!$H$5:$H$204,"D",'Tech Debt Register'!$X$5:$X$204,"&lt;&gt;Done")</f>
        <v>5</v>
      </c>
    </row>
    <row r="17" customFormat="false" ht="15" hidden="false" customHeight="false" outlineLevel="0" collapsed="false">
      <c r="A17" s="15" t="s">
        <v>57</v>
      </c>
      <c r="B17" s="15"/>
      <c r="C17" s="15"/>
      <c r="D17" s="15"/>
      <c r="E17" s="16" t="n">
        <f aca="false">COUNTIFS('Tech Debt Register'!$J$5:$J$204,"P1",'Tech Debt Register'!$X$5:$X$204,"&lt;&gt;Done")+COUNTIFS('Tech Debt Register'!$J$5:$J$204,"P2",'Tech Debt Register'!$X$5:$X$204,"&lt;&gt;Done")</f>
        <v>1</v>
      </c>
    </row>
    <row r="18" customFormat="false" ht="15" hidden="false" customHeight="false" outlineLevel="0" collapsed="false">
      <c r="A18" s="15" t="s">
        <v>58</v>
      </c>
      <c r="B18" s="15"/>
      <c r="C18" s="15"/>
      <c r="D18" s="15"/>
      <c r="E18" s="17" t="n">
        <f aca="false">SUMIFS('Tech Debt Register'!$T$5:$T$204,'Tech Debt Register'!$C$5:$C$204,"Tech Debt",'Tech Debt Register'!$X$5:$X$204,"&lt;&gt;Done")</f>
        <v>163125</v>
      </c>
    </row>
    <row r="19" customFormat="false" ht="15" hidden="false" customHeight="false" outlineLevel="0" collapsed="false">
      <c r="A19" s="15" t="s">
        <v>59</v>
      </c>
      <c r="B19" s="15"/>
      <c r="C19" s="15"/>
      <c r="D19" s="15"/>
      <c r="E19" s="17" t="n">
        <f aca="false">SUMIFS('Tech Debt Register'!$S$5:$S$204,'Tech Debt Register'!$C$5:$C$204,"Tech Debt",'Tech Debt Register'!$X$5:$X$204,"&lt;&gt;Done")</f>
        <v>141000</v>
      </c>
    </row>
    <row r="22" customFormat="false" ht="15" hidden="false" customHeight="false" outlineLevel="0" collapsed="false">
      <c r="A22" s="5" t="s">
        <v>60</v>
      </c>
    </row>
    <row r="23" customFormat="false" ht="23.85" hidden="false" customHeight="false" outlineLevel="0" collapsed="false">
      <c r="A23" s="11" t="s">
        <v>61</v>
      </c>
      <c r="B23" s="11" t="s">
        <v>62</v>
      </c>
      <c r="C23" s="11" t="s">
        <v>63</v>
      </c>
      <c r="D23" s="11" t="s">
        <v>64</v>
      </c>
      <c r="E23" s="11" t="s">
        <v>65</v>
      </c>
      <c r="F23" s="11" t="s">
        <v>66</v>
      </c>
      <c r="G23" s="11" t="s">
        <v>67</v>
      </c>
      <c r="H23" s="11" t="s">
        <v>68</v>
      </c>
      <c r="I23" s="11" t="s">
        <v>69</v>
      </c>
      <c r="J23" s="11" t="s">
        <v>70</v>
      </c>
    </row>
    <row r="24" customFormat="false" ht="23.85" hidden="false" customHeight="false" outlineLevel="0" collapsed="false">
      <c r="A24" s="18" t="s">
        <v>71</v>
      </c>
      <c r="B24" s="18" t="s">
        <v>72</v>
      </c>
      <c r="C24" s="18" t="s">
        <v>73</v>
      </c>
      <c r="D24" s="19" t="n">
        <v>0</v>
      </c>
      <c r="E24" s="19" t="n">
        <v>0.4</v>
      </c>
      <c r="F24" s="19" t="n">
        <v>0.75</v>
      </c>
      <c r="G24" s="19"/>
      <c r="H24" s="18" t="s">
        <v>74</v>
      </c>
      <c r="I24" s="20" t="str">
        <f aca="false">IF(G24="","Not measured",IF(H24="Up",IF(G24&gt;=E24,"G",IF(G24&gt;D24,"A","R")),IF(H24="Down",IF(G24&lt;=E24,"G",IF(G24&lt;D24,"A","R")),IF(ABS(G24-E24)&lt;=0.05*MAX(ABS(E24),1),"G","A"))))</f>
        <v>Not measured</v>
      </c>
    </row>
    <row r="25" customFormat="false" ht="23.85" hidden="false" customHeight="false" outlineLevel="0" collapsed="false">
      <c r="A25" s="18" t="s">
        <v>75</v>
      </c>
      <c r="B25" s="18" t="s">
        <v>72</v>
      </c>
      <c r="C25" s="18" t="s">
        <v>76</v>
      </c>
      <c r="D25" s="21" t="n">
        <v>0</v>
      </c>
      <c r="E25" s="21" t="n">
        <v>40</v>
      </c>
      <c r="F25" s="21" t="n">
        <v>120</v>
      </c>
      <c r="G25" s="21"/>
      <c r="H25" s="18" t="s">
        <v>74</v>
      </c>
      <c r="I25" s="20" t="str">
        <f aca="false">IF(G25="","Not measured",IF(H25="Up",IF(G25&gt;=E25,"G",IF(G25&gt;D25,"A","R")),IF(H25="Down",IF(G25&lt;=E25,"G",IF(G25&lt;D25,"A","R")),IF(ABS(G25-E25)&lt;=0.05*MAX(ABS(E25),1),"G","A"))))</f>
        <v>Not measured</v>
      </c>
    </row>
    <row r="26" customFormat="false" ht="23.85" hidden="false" customHeight="false" outlineLevel="0" collapsed="false">
      <c r="A26" s="18" t="s">
        <v>77</v>
      </c>
      <c r="B26" s="18" t="s">
        <v>72</v>
      </c>
      <c r="C26" s="18" t="s">
        <v>76</v>
      </c>
      <c r="D26" s="21" t="n">
        <v>0</v>
      </c>
      <c r="E26" s="21" t="n">
        <v>150</v>
      </c>
      <c r="F26" s="21" t="n">
        <v>600</v>
      </c>
      <c r="G26" s="21"/>
      <c r="H26" s="18" t="s">
        <v>74</v>
      </c>
      <c r="I26" s="20" t="str">
        <f aca="false">IF(G26="","Not measured",IF(H26="Up",IF(G26&gt;=E26,"G",IF(G26&gt;D26,"A","R")),IF(H26="Down",IF(G26&lt;=E26,"G",IF(G26&lt;D26,"A","R")),IF(ABS(G26-E26)&lt;=0.05*MAX(ABS(E26),1),"G","A"))))</f>
        <v>Not measured</v>
      </c>
    </row>
    <row r="27" customFormat="false" ht="23.85" hidden="false" customHeight="false" outlineLevel="0" collapsed="false">
      <c r="A27" s="18" t="s">
        <v>78</v>
      </c>
      <c r="B27" s="18" t="s">
        <v>79</v>
      </c>
      <c r="C27" s="18" t="s">
        <v>73</v>
      </c>
      <c r="D27" s="19" t="n">
        <v>0.05</v>
      </c>
      <c r="E27" s="19" t="n">
        <v>0.35</v>
      </c>
      <c r="F27" s="19" t="n">
        <v>0.7</v>
      </c>
      <c r="G27" s="19"/>
      <c r="H27" s="18" t="s">
        <v>74</v>
      </c>
      <c r="I27" s="20" t="str">
        <f aca="false">IF(G27="","Not measured",IF(H27="Up",IF(G27&gt;=E27,"G",IF(G27&gt;D27,"A","R")),IF(H27="Down",IF(G27&lt;=E27,"G",IF(G27&lt;D27,"A","R")),IF(ABS(G27-E27)&lt;=0.05*MAX(ABS(E27),1),"G","A"))))</f>
        <v>Not measured</v>
      </c>
    </row>
    <row r="28" customFormat="false" ht="23.85" hidden="false" customHeight="false" outlineLevel="0" collapsed="false">
      <c r="A28" s="18" t="s">
        <v>80</v>
      </c>
      <c r="B28" s="18" t="s">
        <v>79</v>
      </c>
      <c r="C28" s="18" t="s">
        <v>76</v>
      </c>
      <c r="D28" s="21" t="n">
        <v>120</v>
      </c>
      <c r="E28" s="21" t="n">
        <v>60</v>
      </c>
      <c r="F28" s="21" t="n">
        <v>20</v>
      </c>
      <c r="G28" s="21"/>
      <c r="H28" s="18" t="s">
        <v>81</v>
      </c>
      <c r="I28" s="20" t="str">
        <f aca="false">IF(G28="","Not measured",IF(H28="Up",IF(G28&gt;=E28,"G",IF(G28&gt;D28,"A","R")),IF(H28="Down",IF(G28&lt;=E28,"G",IF(G28&lt;D28,"A","R")),IF(ABS(G28-E28)&lt;=0.05*MAX(ABS(E28),1),"G","A"))))</f>
        <v>Not measured</v>
      </c>
    </row>
    <row r="29" customFormat="false" ht="23.85" hidden="false" customHeight="false" outlineLevel="0" collapsed="false">
      <c r="A29" s="18" t="s">
        <v>82</v>
      </c>
      <c r="B29" s="18" t="s">
        <v>83</v>
      </c>
      <c r="C29" s="18" t="s">
        <v>76</v>
      </c>
      <c r="D29" s="21" t="n">
        <v>2500</v>
      </c>
      <c r="E29" s="21" t="n">
        <v>2000</v>
      </c>
      <c r="F29" s="21" t="n">
        <v>1600</v>
      </c>
      <c r="G29" s="21"/>
      <c r="H29" s="18" t="s">
        <v>81</v>
      </c>
      <c r="I29" s="20" t="str">
        <f aca="false">IF(G29="","Not measured",IF(H29="Up",IF(G29&gt;=E29,"G",IF(G29&gt;D29,"A","R")),IF(H29="Down",IF(G29&lt;=E29,"G",IF(G29&lt;D29,"A","R")),IF(ABS(G29-E29)&lt;=0.05*MAX(ABS(E29),1),"G","A"))))</f>
        <v>Not measured</v>
      </c>
    </row>
    <row r="30" customFormat="false" ht="23.85" hidden="false" customHeight="false" outlineLevel="0" collapsed="false">
      <c r="A30" s="18" t="s">
        <v>84</v>
      </c>
      <c r="B30" s="18" t="s">
        <v>83</v>
      </c>
      <c r="C30" s="18" t="s">
        <v>76</v>
      </c>
      <c r="D30" s="21" t="n">
        <v>900</v>
      </c>
      <c r="E30" s="21" t="n">
        <v>700</v>
      </c>
      <c r="F30" s="21" t="n">
        <v>450</v>
      </c>
      <c r="G30" s="21"/>
      <c r="H30" s="18" t="s">
        <v>81</v>
      </c>
      <c r="I30" s="20" t="str">
        <f aca="false">IF(G30="","Not measured",IF(H30="Up",IF(G30&gt;=E30,"G",IF(G30&gt;D30,"A","R")),IF(H30="Down",IF(G30&lt;=E30,"G",IF(G30&lt;D30,"A","R")),IF(ABS(G30-E30)&lt;=0.05*MAX(ABS(E30),1),"G","A"))))</f>
        <v>Not measured</v>
      </c>
    </row>
    <row r="31" customFormat="false" ht="23.85" hidden="false" customHeight="false" outlineLevel="0" collapsed="false">
      <c r="A31" s="18" t="s">
        <v>85</v>
      </c>
      <c r="B31" s="18" t="s">
        <v>86</v>
      </c>
      <c r="C31" s="18" t="s">
        <v>73</v>
      </c>
      <c r="D31" s="19" t="n">
        <v>0</v>
      </c>
      <c r="E31" s="19" t="n">
        <v>0.5</v>
      </c>
      <c r="F31" s="19" t="n">
        <v>0.9</v>
      </c>
      <c r="G31" s="19"/>
      <c r="H31" s="18" t="s">
        <v>74</v>
      </c>
      <c r="I31" s="20" t="str">
        <f aca="false">IF(G31="","Not measured",IF(H31="Up",IF(G31&gt;=E31,"G",IF(G31&gt;D31,"A","R")),IF(H31="Down",IF(G31&lt;=E31,"G",IF(G31&lt;D31,"A","R")),IF(ABS(G31-E31)&lt;=0.05*MAX(ABS(E31),1),"G","A"))))</f>
        <v>Not measured</v>
      </c>
    </row>
    <row r="32" customFormat="false" ht="23.85" hidden="false" customHeight="false" outlineLevel="0" collapsed="false">
      <c r="A32" s="18" t="s">
        <v>87</v>
      </c>
      <c r="B32" s="18" t="s">
        <v>86</v>
      </c>
      <c r="C32" s="18" t="s">
        <v>73</v>
      </c>
      <c r="D32" s="19" t="n">
        <v>0.72</v>
      </c>
      <c r="E32" s="19" t="n">
        <v>0.85</v>
      </c>
      <c r="F32" s="19" t="n">
        <v>0.95</v>
      </c>
      <c r="G32" s="19"/>
      <c r="H32" s="18" t="s">
        <v>74</v>
      </c>
      <c r="I32" s="20" t="str">
        <f aca="false">IF(G32="","Not measured",IF(H32="Up",IF(G32&gt;=E32,"G",IF(G32&gt;D32,"A","R")),IF(H32="Down",IF(G32&lt;=E32,"G",IF(G32&lt;D32,"A","R")),IF(ABS(G32-E32)&lt;=0.05*MAX(ABS(E32),1),"G","A"))))</f>
        <v>Not measured</v>
      </c>
    </row>
    <row r="33" customFormat="false" ht="23.85" hidden="false" customHeight="false" outlineLevel="0" collapsed="false">
      <c r="A33" s="18" t="s">
        <v>88</v>
      </c>
      <c r="B33" s="18" t="s">
        <v>89</v>
      </c>
      <c r="C33" s="18" t="s">
        <v>90</v>
      </c>
      <c r="D33" s="21" t="n">
        <v>45</v>
      </c>
      <c r="E33" s="21" t="n">
        <v>30</v>
      </c>
      <c r="F33" s="21" t="n">
        <v>20</v>
      </c>
      <c r="G33" s="21"/>
      <c r="H33" s="18" t="s">
        <v>81</v>
      </c>
      <c r="I33" s="20" t="str">
        <f aca="false">IF(G33="","Not measured",IF(H33="Up",IF(G33&gt;=E33,"G",IF(G33&gt;D33,"A","R")),IF(H33="Down",IF(G33&lt;=E33,"G",IF(G33&lt;D33,"A","R")),IF(ABS(G33-E33)&lt;=0.05*MAX(ABS(E33),1),"G","A"))))</f>
        <v>Not measured</v>
      </c>
    </row>
    <row r="34" customFormat="false" ht="23.85" hidden="false" customHeight="false" outlineLevel="0" collapsed="false">
      <c r="A34" s="18" t="s">
        <v>91</v>
      </c>
      <c r="B34" s="18" t="s">
        <v>89</v>
      </c>
      <c r="C34" s="18" t="s">
        <v>73</v>
      </c>
      <c r="D34" s="19" t="n">
        <v>0.05</v>
      </c>
      <c r="E34" s="19" t="n">
        <v>0.25</v>
      </c>
      <c r="F34" s="19" t="n">
        <v>0.2</v>
      </c>
      <c r="G34" s="19"/>
      <c r="H34" s="18" t="s">
        <v>92</v>
      </c>
      <c r="I34" s="20" t="str">
        <f aca="false">IF(G34="","Not measured",IF(H34="Up",IF(G34&gt;=E34,"G",IF(G34&gt;D34,"A","R")),IF(H34="Down",IF(G34&lt;=E34,"G",IF(G34&lt;D34,"A","R")),IF(ABS(G34-E34)&lt;=0.05*MAX(ABS(E34),1),"G","A"))))</f>
        <v>Not measured</v>
      </c>
    </row>
    <row r="35" customFormat="false" ht="23.85" hidden="false" customHeight="false" outlineLevel="0" collapsed="false">
      <c r="A35" s="18" t="s">
        <v>93</v>
      </c>
      <c r="B35" s="18" t="s">
        <v>89</v>
      </c>
      <c r="C35" s="18" t="s">
        <v>94</v>
      </c>
      <c r="D35" s="21" t="n">
        <v>12</v>
      </c>
      <c r="E35" s="21" t="n">
        <v>12</v>
      </c>
      <c r="F35" s="21" t="n">
        <v>3</v>
      </c>
      <c r="G35" s="21"/>
      <c r="H35" s="18" t="s">
        <v>81</v>
      </c>
      <c r="I35" s="20" t="str">
        <f aca="false">IF(G35="","Not measured",IF(H35="Up",IF(G35&gt;=E35,"G",IF(G35&gt;D35,"A","R")),IF(H35="Down",IF(G35&lt;=E35,"G",IF(G35&lt;D35,"A","R")),IF(ABS(G35-E35)&lt;=0.05*MAX(ABS(E35),1),"G","A"))))</f>
        <v>Not measured</v>
      </c>
    </row>
    <row r="37" customFormat="false" ht="15" hidden="false" customHeight="false" outlineLevel="0" collapsed="false">
      <c r="A37" s="22" t="s">
        <v>95</v>
      </c>
    </row>
  </sheetData>
  <mergeCells count="6">
    <mergeCell ref="A14:D14"/>
    <mergeCell ref="A15:D15"/>
    <mergeCell ref="A16:D16"/>
    <mergeCell ref="A17:D17"/>
    <mergeCell ref="A18:D18"/>
    <mergeCell ref="A19:D19"/>
  </mergeCells>
  <conditionalFormatting sqref="I24:I35">
    <cfRule type="cellIs" priority="2" operator="equal" aboveAverage="0" equalAverage="0" bottom="0" percent="0" rank="0" text="" dxfId="0">
      <formula>"G"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48"/>
    <col collapsed="false" customWidth="true" hidden="false" outlineLevel="0" max="7" min="7" style="0" width="20"/>
    <col collapsed="false" customWidth="true" hidden="false" outlineLevel="0" max="9" min="8" style="0" width="11"/>
    <col collapsed="false" customWidth="true" hidden="false" outlineLevel="0" max="12" min="10" style="0" width="10"/>
    <col collapsed="false" customWidth="true" hidden="false" outlineLevel="0" max="13" min="13" style="0" width="13"/>
    <col collapsed="false" customWidth="true" hidden="false" outlineLevel="0" max="16" min="14" style="0" width="9"/>
    <col collapsed="false" customWidth="true" hidden="false" outlineLevel="0" max="17" min="17" style="0" width="11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10"/>
    <col collapsed="false" customWidth="true" hidden="false" outlineLevel="0" max="23" min="22" style="0" width="20"/>
    <col collapsed="false" customWidth="true" hidden="false" outlineLevel="0" max="24" min="24" style="0" width="12"/>
    <col collapsed="false" customWidth="true" hidden="false" outlineLevel="0" max="27" min="25" style="0" width="11"/>
    <col collapsed="false" customWidth="true" hidden="false" outlineLevel="0" max="29" min="28" style="0" width="9"/>
    <col collapsed="false" customWidth="true" hidden="false" outlineLevel="0" max="30" min="30" style="0" width="40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48" hidden="false" customHeight="true" outlineLevel="0" collapsed="false">
      <c r="A4" s="11" t="s">
        <v>98</v>
      </c>
      <c r="B4" s="11" t="s">
        <v>99</v>
      </c>
      <c r="C4" s="11" t="s">
        <v>100</v>
      </c>
      <c r="D4" s="11" t="s">
        <v>101</v>
      </c>
      <c r="E4" s="11" t="s">
        <v>102</v>
      </c>
      <c r="F4" s="11" t="s">
        <v>103</v>
      </c>
      <c r="G4" s="11" t="s">
        <v>104</v>
      </c>
      <c r="H4" s="11" t="s">
        <v>105</v>
      </c>
      <c r="I4" s="11" t="s">
        <v>106</v>
      </c>
      <c r="J4" s="11" t="s">
        <v>107</v>
      </c>
      <c r="K4" s="11" t="s">
        <v>108</v>
      </c>
      <c r="L4" s="11" t="s">
        <v>109</v>
      </c>
      <c r="M4" s="11" t="s">
        <v>110</v>
      </c>
      <c r="N4" s="11" t="s">
        <v>111</v>
      </c>
      <c r="O4" s="11" t="s">
        <v>112</v>
      </c>
      <c r="P4" s="11" t="s">
        <v>113</v>
      </c>
      <c r="Q4" s="11" t="s">
        <v>114</v>
      </c>
      <c r="R4" s="11" t="s">
        <v>115</v>
      </c>
      <c r="S4" s="11" t="s">
        <v>116</v>
      </c>
      <c r="T4" s="11" t="s">
        <v>117</v>
      </c>
      <c r="U4" s="11" t="s">
        <v>118</v>
      </c>
      <c r="V4" s="11" t="s">
        <v>119</v>
      </c>
      <c r="W4" s="11" t="s">
        <v>120</v>
      </c>
      <c r="X4" s="11" t="s">
        <v>121</v>
      </c>
      <c r="Y4" s="11" t="s">
        <v>122</v>
      </c>
      <c r="Z4" s="11" t="s">
        <v>123</v>
      </c>
      <c r="AA4" s="11" t="s">
        <v>124</v>
      </c>
      <c r="AB4" s="11" t="s">
        <v>125</v>
      </c>
      <c r="AC4" s="11" t="s">
        <v>126</v>
      </c>
      <c r="AD4" s="11" t="s">
        <v>127</v>
      </c>
    </row>
    <row r="5" customFormat="false" ht="35.05" hidden="false" customHeight="false" outlineLevel="0" collapsed="false">
      <c r="A5" s="23" t="s">
        <v>128</v>
      </c>
      <c r="B5" s="24" t="s">
        <v>129</v>
      </c>
      <c r="C5" s="25" t="s">
        <v>27</v>
      </c>
      <c r="D5" s="25" t="s">
        <v>86</v>
      </c>
      <c r="E5" s="25" t="s">
        <v>130</v>
      </c>
      <c r="F5" s="24" t="s">
        <v>131</v>
      </c>
      <c r="G5" s="25" t="s">
        <v>132</v>
      </c>
      <c r="H5" s="25" t="s">
        <v>133</v>
      </c>
      <c r="I5" s="25" t="s">
        <v>134</v>
      </c>
      <c r="J5" s="25" t="s">
        <v>135</v>
      </c>
      <c r="K5" s="26" t="n">
        <v>13</v>
      </c>
      <c r="L5" s="26" t="n">
        <v>8</v>
      </c>
      <c r="M5" s="26" t="n">
        <v>13</v>
      </c>
      <c r="N5" s="26" t="n">
        <v>8</v>
      </c>
      <c r="O5" s="27" t="n">
        <f aca="false">IF(OR(N5="",N5=0),"",ROUND((K5+L5+M5)/N5,1))</f>
        <v>4.3</v>
      </c>
      <c r="P5" s="27" t="n">
        <f aca="false">IF(OR(O5="",X5="Done",X5="Rejected"),"",COUNTIFS($O$5:$O$204,"&gt;"&amp;O5,$X$5:$X$204,"&lt;&gt;Done",$X$5:$X$204,"&lt;&gt;Rejected")+1)</f>
        <v>10</v>
      </c>
      <c r="Q5" s="26" t="n">
        <v>40</v>
      </c>
      <c r="R5" s="26" t="n">
        <v>25</v>
      </c>
      <c r="S5" s="28" t="n">
        <f aca="false">IF(R5="","",R5*Settings!$B$5)</f>
        <v>18750</v>
      </c>
      <c r="T5" s="28" t="n">
        <f aca="false">IF(Q5="","",Q5*12*Settings!$B$5/8)</f>
        <v>45000</v>
      </c>
      <c r="U5" s="27" t="n">
        <f aca="false">IF(OR(S5="",T5="",T5=0),"",ROUND(S5/(T5/12),1))</f>
        <v>5</v>
      </c>
      <c r="V5" s="29" t="s">
        <v>136</v>
      </c>
      <c r="W5" s="29" t="s">
        <v>137</v>
      </c>
      <c r="X5" s="25" t="s">
        <v>44</v>
      </c>
      <c r="Y5" s="25" t="s">
        <v>138</v>
      </c>
      <c r="Z5" s="30" t="n">
        <v>46266</v>
      </c>
      <c r="AA5" s="30"/>
      <c r="AB5" s="27" t="n">
        <f aca="true">IF(Z5="","",IF(AA5="",TODAY(),AA5)-Z5)</f>
        <v>26</v>
      </c>
      <c r="AC5" s="31" t="str">
        <f aca="false">IF(AB5="","",IF(AND(OR(X5="New",X5="Triaged"),AB5&gt;Settings!$B$9),"STALE",""))</f>
        <v/>
      </c>
      <c r="AD5" s="24" t="s">
        <v>139</v>
      </c>
    </row>
    <row r="6" customFormat="false" ht="23.85" hidden="false" customHeight="false" outlineLevel="0" collapsed="false">
      <c r="A6" s="23" t="s">
        <v>140</v>
      </c>
      <c r="B6" s="24" t="s">
        <v>141</v>
      </c>
      <c r="C6" s="25" t="s">
        <v>31</v>
      </c>
      <c r="D6" s="25" t="s">
        <v>72</v>
      </c>
      <c r="E6" s="25" t="s">
        <v>142</v>
      </c>
      <c r="F6" s="24" t="s">
        <v>143</v>
      </c>
      <c r="G6" s="25" t="s">
        <v>135</v>
      </c>
      <c r="H6" s="25" t="s">
        <v>144</v>
      </c>
      <c r="I6" s="25" t="s">
        <v>145</v>
      </c>
      <c r="J6" s="25" t="s">
        <v>135</v>
      </c>
      <c r="K6" s="26" t="n">
        <v>13</v>
      </c>
      <c r="L6" s="26" t="n">
        <v>5</v>
      </c>
      <c r="M6" s="26" t="n">
        <v>8</v>
      </c>
      <c r="N6" s="26" t="n">
        <v>5</v>
      </c>
      <c r="O6" s="27" t="n">
        <f aca="false">IF(OR(N6="",N6=0),"",ROUND((K6+L6+M6)/N6,1))</f>
        <v>5.2</v>
      </c>
      <c r="P6" s="27" t="n">
        <f aca="false">IF(OR(O6="",X6="Done",X6="Rejected"),"",COUNTIFS($O$5:$O$204,"&gt;"&amp;O6,$X$5:$X$204,"&lt;&gt;Done",$X$5:$X$204,"&lt;&gt;Rejected")+1)</f>
        <v>5</v>
      </c>
      <c r="Q6" s="26" t="n">
        <v>20</v>
      </c>
      <c r="R6" s="26" t="n">
        <v>15</v>
      </c>
      <c r="S6" s="28" t="n">
        <f aca="false">IF(R6="","",R6*Settings!$B$5)</f>
        <v>11250</v>
      </c>
      <c r="T6" s="28" t="n">
        <f aca="false">IF(Q6="","",Q6*12*Settings!$B$5/8)</f>
        <v>22500</v>
      </c>
      <c r="U6" s="27" t="n">
        <f aca="false">IF(OR(S6="",T6="",T6=0),"",ROUND(S6/(T6/12),1))</f>
        <v>6</v>
      </c>
      <c r="V6" s="29" t="s">
        <v>146</v>
      </c>
      <c r="W6" s="29" t="s">
        <v>147</v>
      </c>
      <c r="X6" s="25" t="s">
        <v>45</v>
      </c>
      <c r="Y6" s="25" t="s">
        <v>148</v>
      </c>
      <c r="Z6" s="30" t="n">
        <v>46270</v>
      </c>
      <c r="AA6" s="30"/>
      <c r="AB6" s="27" t="n">
        <f aca="true">IF(Z6="","",IF(AA6="",TODAY(),AA6)-Z6)</f>
        <v>22</v>
      </c>
      <c r="AC6" s="31" t="str">
        <f aca="false">IF(AB6="","",IF(AND(OR(X6="New",X6="Triaged"),AB6&gt;Settings!$B$9),"STALE",""))</f>
        <v/>
      </c>
      <c r="AD6" s="24" t="s">
        <v>149</v>
      </c>
    </row>
    <row r="7" customFormat="false" ht="23.85" hidden="false" customHeight="false" outlineLevel="0" collapsed="false">
      <c r="A7" s="23" t="s">
        <v>150</v>
      </c>
      <c r="B7" s="24" t="s">
        <v>151</v>
      </c>
      <c r="C7" s="25" t="s">
        <v>33</v>
      </c>
      <c r="D7" s="25" t="s">
        <v>72</v>
      </c>
      <c r="E7" s="25" t="s">
        <v>152</v>
      </c>
      <c r="F7" s="24" t="s">
        <v>153</v>
      </c>
      <c r="G7" s="25" t="s">
        <v>135</v>
      </c>
      <c r="H7" s="25" t="s">
        <v>144</v>
      </c>
      <c r="I7" s="25" t="s">
        <v>134</v>
      </c>
      <c r="J7" s="25" t="s">
        <v>135</v>
      </c>
      <c r="K7" s="26" t="n">
        <v>8</v>
      </c>
      <c r="L7" s="26" t="n">
        <v>5</v>
      </c>
      <c r="M7" s="26" t="n">
        <v>13</v>
      </c>
      <c r="N7" s="26" t="n">
        <v>5</v>
      </c>
      <c r="O7" s="27" t="n">
        <f aca="false">IF(OR(N7="",N7=0),"",ROUND((K7+L7+M7)/N7,1))</f>
        <v>5.2</v>
      </c>
      <c r="P7" s="27" t="n">
        <f aca="false">IF(OR(O7="",X7="Done",X7="Rejected"),"",COUNTIFS($O$5:$O$204,"&gt;"&amp;O7,$X$5:$X$204,"&lt;&gt;Done",$X$5:$X$204,"&lt;&gt;Rejected")+1)</f>
        <v>5</v>
      </c>
      <c r="Q7" s="26" t="n">
        <v>0</v>
      </c>
      <c r="R7" s="26" t="n">
        <v>20</v>
      </c>
      <c r="S7" s="28" t="n">
        <f aca="false">IF(R7="","",R7*Settings!$B$5)</f>
        <v>15000</v>
      </c>
      <c r="T7" s="28" t="n">
        <f aca="false">IF(Q7="","",Q7*12*Settings!$B$5/8)</f>
        <v>0</v>
      </c>
      <c r="U7" s="27" t="str">
        <f aca="false">IF(OR(S7="",T7="",T7=0),"",ROUND(S7/(T7/12),1))</f>
        <v/>
      </c>
      <c r="V7" s="29" t="s">
        <v>154</v>
      </c>
      <c r="W7" s="29" t="s">
        <v>155</v>
      </c>
      <c r="X7" s="25" t="s">
        <v>45</v>
      </c>
      <c r="Y7" s="25" t="s">
        <v>148</v>
      </c>
      <c r="Z7" s="30" t="n">
        <v>46270</v>
      </c>
      <c r="AA7" s="30"/>
      <c r="AB7" s="27" t="n">
        <f aca="true">IF(Z7="","",IF(AA7="",TODAY(),AA7)-Z7)</f>
        <v>22</v>
      </c>
      <c r="AC7" s="31" t="str">
        <f aca="false">IF(AB7="","",IF(AND(OR(X7="New",X7="Triaged"),AB7&gt;Settings!$B$9),"STALE",""))</f>
        <v/>
      </c>
      <c r="AD7" s="24" t="s">
        <v>156</v>
      </c>
    </row>
    <row r="8" customFormat="false" ht="23.85" hidden="false" customHeight="false" outlineLevel="0" collapsed="false">
      <c r="A8" s="23" t="s">
        <v>157</v>
      </c>
      <c r="B8" s="24" t="s">
        <v>158</v>
      </c>
      <c r="C8" s="25" t="s">
        <v>27</v>
      </c>
      <c r="D8" s="25" t="s">
        <v>79</v>
      </c>
      <c r="E8" s="25" t="s">
        <v>79</v>
      </c>
      <c r="F8" s="24" t="s">
        <v>159</v>
      </c>
      <c r="G8" s="25" t="s">
        <v>160</v>
      </c>
      <c r="H8" s="25" t="s">
        <v>161</v>
      </c>
      <c r="I8" s="25" t="s">
        <v>134</v>
      </c>
      <c r="J8" s="25" t="s">
        <v>135</v>
      </c>
      <c r="K8" s="26" t="n">
        <v>8</v>
      </c>
      <c r="L8" s="26" t="n">
        <v>5</v>
      </c>
      <c r="M8" s="26" t="n">
        <v>13</v>
      </c>
      <c r="N8" s="26" t="n">
        <v>13</v>
      </c>
      <c r="O8" s="27" t="n">
        <f aca="false">IF(OR(N8="",N8=0),"",ROUND((K8+L8+M8)/N8,1))</f>
        <v>2</v>
      </c>
      <c r="P8" s="27" t="n">
        <f aca="false">IF(OR(O8="",X8="Done",X8="Rejected"),"",COUNTIFS($O$5:$O$204,"&gt;"&amp;O8,$X$5:$X$204,"&lt;&gt;Done",$X$5:$X$204,"&lt;&gt;Rejected")+1)</f>
        <v>18</v>
      </c>
      <c r="Q8" s="26" t="n">
        <v>30</v>
      </c>
      <c r="R8" s="26" t="n">
        <v>60</v>
      </c>
      <c r="S8" s="28" t="n">
        <f aca="false">IF(R8="","",R8*Settings!$B$5)</f>
        <v>45000</v>
      </c>
      <c r="T8" s="28" t="n">
        <f aca="false">IF(Q8="","",Q8*12*Settings!$B$5/8)</f>
        <v>33750</v>
      </c>
      <c r="U8" s="27" t="n">
        <f aca="false">IF(OR(S8="",T8="",T8=0),"",ROUND(S8/(T8/12),1))</f>
        <v>16</v>
      </c>
      <c r="V8" s="29" t="s">
        <v>162</v>
      </c>
      <c r="W8" s="29" t="s">
        <v>163</v>
      </c>
      <c r="X8" s="25" t="s">
        <v>43</v>
      </c>
      <c r="Y8" s="25" t="s">
        <v>164</v>
      </c>
      <c r="Z8" s="30" t="n">
        <v>46275</v>
      </c>
      <c r="AA8" s="30"/>
      <c r="AB8" s="27" t="n">
        <f aca="true">IF(Z8="","",IF(AA8="",TODAY(),AA8)-Z8)</f>
        <v>17</v>
      </c>
      <c r="AC8" s="31" t="str">
        <f aca="false">IF(AB8="","",IF(AND(OR(X8="New",X8="Triaged"),AB8&gt;Settings!$B$9),"STALE",""))</f>
        <v/>
      </c>
      <c r="AD8" s="24" t="s">
        <v>165</v>
      </c>
    </row>
    <row r="9" customFormat="false" ht="23.85" hidden="false" customHeight="false" outlineLevel="0" collapsed="false">
      <c r="A9" s="23" t="s">
        <v>166</v>
      </c>
      <c r="B9" s="24" t="s">
        <v>167</v>
      </c>
      <c r="C9" s="25" t="s">
        <v>29</v>
      </c>
      <c r="D9" s="25" t="s">
        <v>168</v>
      </c>
      <c r="E9" s="25" t="s">
        <v>169</v>
      </c>
      <c r="F9" s="24" t="s">
        <v>170</v>
      </c>
      <c r="G9" s="25" t="s">
        <v>171</v>
      </c>
      <c r="H9" s="25" t="s">
        <v>135</v>
      </c>
      <c r="I9" s="25" t="s">
        <v>145</v>
      </c>
      <c r="J9" s="25" t="s">
        <v>172</v>
      </c>
      <c r="K9" s="26" t="n">
        <v>5</v>
      </c>
      <c r="L9" s="26" t="n">
        <v>8</v>
      </c>
      <c r="M9" s="26" t="n">
        <v>5</v>
      </c>
      <c r="N9" s="26" t="n">
        <v>2</v>
      </c>
      <c r="O9" s="27" t="n">
        <f aca="false">IF(OR(N9="",N9=0),"",ROUND((K9+L9+M9)/N9,1))</f>
        <v>9</v>
      </c>
      <c r="P9" s="27" t="n">
        <f aca="false">IF(OR(O9="",X9="Done",X9="Rejected"),"",COUNTIFS($O$5:$O$204,"&gt;"&amp;O9,$X$5:$X$204,"&lt;&gt;Done",$X$5:$X$204,"&lt;&gt;Rejected")+1)</f>
        <v>2</v>
      </c>
      <c r="Q9" s="26" t="n">
        <v>16</v>
      </c>
      <c r="R9" s="26" t="n">
        <v>3</v>
      </c>
      <c r="S9" s="28" t="n">
        <f aca="false">IF(R9="","",R9*Settings!$B$5)</f>
        <v>2250</v>
      </c>
      <c r="T9" s="28" t="n">
        <f aca="false">IF(Q9="","",Q9*12*Settings!$B$5/8)</f>
        <v>18000</v>
      </c>
      <c r="U9" s="27" t="n">
        <f aca="false">IF(OR(S9="",T9="",T9=0),"",ROUND(S9/(T9/12),1))</f>
        <v>1.5</v>
      </c>
      <c r="V9" s="29" t="s">
        <v>173</v>
      </c>
      <c r="W9" s="29" t="s">
        <v>174</v>
      </c>
      <c r="X9" s="25" t="s">
        <v>46</v>
      </c>
      <c r="Y9" s="25" t="s">
        <v>148</v>
      </c>
      <c r="Z9" s="30" t="n">
        <v>46254</v>
      </c>
      <c r="AA9" s="30"/>
      <c r="AB9" s="27" t="n">
        <f aca="true">IF(Z9="","",IF(AA9="",TODAY(),AA9)-Z9)</f>
        <v>38</v>
      </c>
      <c r="AC9" s="31" t="str">
        <f aca="false">IF(AB9="","",IF(AND(OR(X9="New",X9="Triaged"),AB9&gt;Settings!$B$9),"STALE",""))</f>
        <v/>
      </c>
      <c r="AD9" s="24"/>
    </row>
    <row r="10" customFormat="false" ht="23.85" hidden="false" customHeight="false" outlineLevel="0" collapsed="false">
      <c r="A10" s="23" t="s">
        <v>175</v>
      </c>
      <c r="B10" s="24" t="s">
        <v>176</v>
      </c>
      <c r="C10" s="25" t="s">
        <v>27</v>
      </c>
      <c r="D10" s="25" t="s">
        <v>83</v>
      </c>
      <c r="E10" s="25" t="s">
        <v>169</v>
      </c>
      <c r="F10" s="24" t="s">
        <v>177</v>
      </c>
      <c r="G10" s="25" t="s">
        <v>178</v>
      </c>
      <c r="H10" s="25" t="s">
        <v>179</v>
      </c>
      <c r="I10" s="25" t="s">
        <v>134</v>
      </c>
      <c r="J10" s="25" t="s">
        <v>135</v>
      </c>
      <c r="K10" s="26" t="n">
        <v>5</v>
      </c>
      <c r="L10" s="26" t="n">
        <v>3</v>
      </c>
      <c r="M10" s="26" t="n">
        <v>13</v>
      </c>
      <c r="N10" s="26" t="n">
        <v>8</v>
      </c>
      <c r="O10" s="27" t="n">
        <f aca="false">IF(OR(N10="",N10=0),"",ROUND((K10+L10+M10)/N10,1))</f>
        <v>2.6</v>
      </c>
      <c r="P10" s="27" t="n">
        <f aca="false">IF(OR(O10="",X10="Done",X10="Rejected"),"",COUNTIFS($O$5:$O$204,"&gt;"&amp;O10,$X$5:$X$204,"&lt;&gt;Done",$X$5:$X$204,"&lt;&gt;Rejected")+1)</f>
        <v>15</v>
      </c>
      <c r="Q10" s="26" t="n">
        <v>12</v>
      </c>
      <c r="R10" s="26" t="n">
        <v>30</v>
      </c>
      <c r="S10" s="28" t="n">
        <f aca="false">IF(R10="","",R10*Settings!$B$5)</f>
        <v>22500</v>
      </c>
      <c r="T10" s="28" t="n">
        <f aca="false">IF(Q10="","",Q10*12*Settings!$B$5/8)</f>
        <v>13500</v>
      </c>
      <c r="U10" s="27" t="n">
        <f aca="false">IF(OR(S10="",T10="",T10=0),"",ROUND(S10/(T10/12),1))</f>
        <v>20</v>
      </c>
      <c r="V10" s="29" t="s">
        <v>173</v>
      </c>
      <c r="W10" s="29" t="s">
        <v>180</v>
      </c>
      <c r="X10" s="25" t="s">
        <v>44</v>
      </c>
      <c r="Y10" s="25" t="s">
        <v>164</v>
      </c>
      <c r="Z10" s="30" t="n">
        <v>46277</v>
      </c>
      <c r="AA10" s="30"/>
      <c r="AB10" s="27" t="n">
        <f aca="true">IF(Z10="","",IF(AA10="",TODAY(),AA10)-Z10)</f>
        <v>15</v>
      </c>
      <c r="AC10" s="31" t="str">
        <f aca="false">IF(AB10="","",IF(AND(OR(X10="New",X10="Triaged"),AB10&gt;Settings!$B$9),"STALE",""))</f>
        <v/>
      </c>
      <c r="AD10" s="24" t="s">
        <v>181</v>
      </c>
    </row>
    <row r="11" customFormat="false" ht="23.85" hidden="false" customHeight="false" outlineLevel="0" collapsed="false">
      <c r="A11" s="23" t="s">
        <v>182</v>
      </c>
      <c r="B11" s="24" t="s">
        <v>183</v>
      </c>
      <c r="C11" s="25" t="s">
        <v>27</v>
      </c>
      <c r="D11" s="25" t="s">
        <v>83</v>
      </c>
      <c r="E11" s="25" t="s">
        <v>184</v>
      </c>
      <c r="F11" s="24" t="s">
        <v>185</v>
      </c>
      <c r="G11" s="25" t="s">
        <v>160</v>
      </c>
      <c r="H11" s="25" t="s">
        <v>133</v>
      </c>
      <c r="I11" s="25" t="s">
        <v>145</v>
      </c>
      <c r="J11" s="25" t="s">
        <v>135</v>
      </c>
      <c r="K11" s="26" t="n">
        <v>3</v>
      </c>
      <c r="L11" s="26" t="n">
        <v>2</v>
      </c>
      <c r="M11" s="26" t="n">
        <v>8</v>
      </c>
      <c r="N11" s="26" t="n">
        <v>3</v>
      </c>
      <c r="O11" s="27" t="n">
        <f aca="false">IF(OR(N11="",N11=0),"",ROUND((K11+L11+M11)/N11,1))</f>
        <v>4.3</v>
      </c>
      <c r="P11" s="27" t="n">
        <f aca="false">IF(OR(O11="",X11="Done",X11="Rejected"),"",COUNTIFS($O$5:$O$204,"&gt;"&amp;O11,$X$5:$X$204,"&lt;&gt;Done",$X$5:$X$204,"&lt;&gt;Rejected")+1)</f>
        <v>10</v>
      </c>
      <c r="Q11" s="26" t="n">
        <v>8</v>
      </c>
      <c r="R11" s="26" t="n">
        <v>10</v>
      </c>
      <c r="S11" s="28" t="n">
        <f aca="false">IF(R11="","",R11*Settings!$B$5)</f>
        <v>7500</v>
      </c>
      <c r="T11" s="28" t="n">
        <f aca="false">IF(Q11="","",Q11*12*Settings!$B$5/8)</f>
        <v>9000</v>
      </c>
      <c r="U11" s="27" t="n">
        <f aca="false">IF(OR(S11="",T11="",T11=0),"",ROUND(S11/(T11/12),1))</f>
        <v>10</v>
      </c>
      <c r="V11" s="29" t="s">
        <v>154</v>
      </c>
      <c r="W11" s="29" t="s">
        <v>180</v>
      </c>
      <c r="X11" s="25" t="s">
        <v>44</v>
      </c>
      <c r="Y11" s="25" t="s">
        <v>138</v>
      </c>
      <c r="Z11" s="30" t="n">
        <v>46277</v>
      </c>
      <c r="AA11" s="30"/>
      <c r="AB11" s="27" t="n">
        <f aca="true">IF(Z11="","",IF(AA11="",TODAY(),AA11)-Z11)</f>
        <v>15</v>
      </c>
      <c r="AC11" s="31" t="str">
        <f aca="false">IF(AB11="","",IF(AND(OR(X11="New",X11="Triaged"),AB11&gt;Settings!$B$9),"STALE",""))</f>
        <v/>
      </c>
      <c r="AD11" s="24" t="s">
        <v>186</v>
      </c>
    </row>
    <row r="12" customFormat="false" ht="23.85" hidden="false" customHeight="false" outlineLevel="0" collapsed="false">
      <c r="A12" s="23" t="s">
        <v>187</v>
      </c>
      <c r="B12" s="24" t="s">
        <v>188</v>
      </c>
      <c r="C12" s="25" t="s">
        <v>31</v>
      </c>
      <c r="D12" s="25" t="s">
        <v>168</v>
      </c>
      <c r="E12" s="25" t="s">
        <v>189</v>
      </c>
      <c r="F12" s="24" t="s">
        <v>190</v>
      </c>
      <c r="G12" s="25" t="s">
        <v>135</v>
      </c>
      <c r="H12" s="25" t="s">
        <v>144</v>
      </c>
      <c r="I12" s="25" t="s">
        <v>145</v>
      </c>
      <c r="J12" s="25" t="s">
        <v>135</v>
      </c>
      <c r="K12" s="26" t="n">
        <v>13</v>
      </c>
      <c r="L12" s="26" t="n">
        <v>5</v>
      </c>
      <c r="M12" s="26" t="n">
        <v>5</v>
      </c>
      <c r="N12" s="26" t="n">
        <v>5</v>
      </c>
      <c r="O12" s="27" t="n">
        <f aca="false">IF(OR(N12="",N12=0),"",ROUND((K12+L12+M12)/N12,1))</f>
        <v>4.6</v>
      </c>
      <c r="P12" s="27" t="n">
        <f aca="false">IF(OR(O12="",X12="Done",X12="Rejected"),"",COUNTIFS($O$5:$O$204,"&gt;"&amp;O12,$X$5:$X$204,"&lt;&gt;Done",$X$5:$X$204,"&lt;&gt;Rejected")+1)</f>
        <v>9</v>
      </c>
      <c r="Q12" s="26" t="n">
        <v>25</v>
      </c>
      <c r="R12" s="26" t="n">
        <v>15</v>
      </c>
      <c r="S12" s="28" t="n">
        <f aca="false">IF(R12="","",R12*Settings!$B$5)</f>
        <v>11250</v>
      </c>
      <c r="T12" s="28" t="n">
        <f aca="false">IF(Q12="","",Q12*12*Settings!$B$5/8)</f>
        <v>28125</v>
      </c>
      <c r="U12" s="27" t="n">
        <f aca="false">IF(OR(S12="",T12="",T12=0),"",ROUND(S12/(T12/12),1))</f>
        <v>4.8</v>
      </c>
      <c r="V12" s="29" t="s">
        <v>191</v>
      </c>
      <c r="W12" s="29" t="s">
        <v>192</v>
      </c>
      <c r="X12" s="25" t="s">
        <v>43</v>
      </c>
      <c r="Y12" s="25" t="s">
        <v>138</v>
      </c>
      <c r="Z12" s="30" t="n">
        <v>46280</v>
      </c>
      <c r="AA12" s="30"/>
      <c r="AB12" s="27" t="n">
        <f aca="true">IF(Z12="","",IF(AA12="",TODAY(),AA12)-Z12)</f>
        <v>12</v>
      </c>
      <c r="AC12" s="31" t="str">
        <f aca="false">IF(AB12="","",IF(AND(OR(X12="New",X12="Triaged"),AB12&gt;Settings!$B$9),"STALE",""))</f>
        <v/>
      </c>
      <c r="AD12" s="24"/>
    </row>
    <row r="13" customFormat="false" ht="23.85" hidden="false" customHeight="false" outlineLevel="0" collapsed="false">
      <c r="A13" s="23" t="s">
        <v>193</v>
      </c>
      <c r="B13" s="24" t="s">
        <v>194</v>
      </c>
      <c r="C13" s="25" t="s">
        <v>35</v>
      </c>
      <c r="D13" s="25" t="s">
        <v>89</v>
      </c>
      <c r="E13" s="25" t="s">
        <v>195</v>
      </c>
      <c r="F13" s="24" t="s">
        <v>196</v>
      </c>
      <c r="G13" s="25" t="s">
        <v>132</v>
      </c>
      <c r="H13" s="25" t="s">
        <v>135</v>
      </c>
      <c r="I13" s="25" t="s">
        <v>134</v>
      </c>
      <c r="J13" s="25" t="s">
        <v>135</v>
      </c>
      <c r="K13" s="26" t="n">
        <v>8</v>
      </c>
      <c r="L13" s="26" t="n">
        <v>8</v>
      </c>
      <c r="M13" s="26" t="n">
        <v>13</v>
      </c>
      <c r="N13" s="26" t="n">
        <v>13</v>
      </c>
      <c r="O13" s="27" t="n">
        <f aca="false">IF(OR(N13="",N13=0),"",ROUND((K13+L13+M13)/N13,1))</f>
        <v>2.2</v>
      </c>
      <c r="P13" s="27" t="n">
        <f aca="false">IF(OR(O13="",X13="Done",X13="Rejected"),"",COUNTIFS($O$5:$O$204,"&gt;"&amp;O13,$X$5:$X$204,"&lt;&gt;Done",$X$5:$X$204,"&lt;&gt;Rejected")+1)</f>
        <v>17</v>
      </c>
      <c r="Q13" s="26" t="n">
        <v>0</v>
      </c>
      <c r="R13" s="26" t="n">
        <v>45</v>
      </c>
      <c r="S13" s="28" t="n">
        <f aca="false">IF(R13="","",R13*Settings!$B$5)</f>
        <v>33750</v>
      </c>
      <c r="T13" s="28" t="n">
        <f aca="false">IF(Q13="","",Q13*12*Settings!$B$5/8)</f>
        <v>0</v>
      </c>
      <c r="U13" s="27" t="str">
        <f aca="false">IF(OR(S13="",T13="",T13=0),"",ROUND(S13/(T13/12),1))</f>
        <v/>
      </c>
      <c r="V13" s="29" t="s">
        <v>154</v>
      </c>
      <c r="W13" s="29" t="s">
        <v>197</v>
      </c>
      <c r="X13" s="25" t="s">
        <v>43</v>
      </c>
      <c r="Y13" s="25" t="s">
        <v>164</v>
      </c>
      <c r="Z13" s="30" t="n">
        <v>46280</v>
      </c>
      <c r="AA13" s="30"/>
      <c r="AB13" s="27" t="n">
        <f aca="true">IF(Z13="","",IF(AA13="",TODAY(),AA13)-Z13)</f>
        <v>12</v>
      </c>
      <c r="AC13" s="31" t="str">
        <f aca="false">IF(AB13="","",IF(AND(OR(X13="New",X13="Triaged"),AB13&gt;Settings!$B$9),"STALE",""))</f>
        <v/>
      </c>
      <c r="AD13" s="24" t="s">
        <v>198</v>
      </c>
    </row>
    <row r="14" customFormat="false" ht="23.85" hidden="false" customHeight="false" outlineLevel="0" collapsed="false">
      <c r="A14" s="23" t="s">
        <v>199</v>
      </c>
      <c r="B14" s="24" t="s">
        <v>200</v>
      </c>
      <c r="C14" s="25" t="s">
        <v>27</v>
      </c>
      <c r="D14" s="25" t="s">
        <v>86</v>
      </c>
      <c r="E14" s="25" t="s">
        <v>184</v>
      </c>
      <c r="F14" s="24" t="s">
        <v>201</v>
      </c>
      <c r="G14" s="25" t="s">
        <v>171</v>
      </c>
      <c r="H14" s="25" t="s">
        <v>135</v>
      </c>
      <c r="I14" s="25" t="s">
        <v>134</v>
      </c>
      <c r="J14" s="25" t="s">
        <v>135</v>
      </c>
      <c r="K14" s="26" t="n">
        <v>8</v>
      </c>
      <c r="L14" s="26" t="n">
        <v>5</v>
      </c>
      <c r="M14" s="26" t="n">
        <v>8</v>
      </c>
      <c r="N14" s="26" t="n">
        <v>8</v>
      </c>
      <c r="O14" s="27" t="n">
        <f aca="false">IF(OR(N14="",N14=0),"",ROUND((K14+L14+M14)/N14,1))</f>
        <v>2.6</v>
      </c>
      <c r="P14" s="27" t="n">
        <f aca="false">IF(OR(O14="",X14="Done",X14="Rejected"),"",COUNTIFS($O$5:$O$204,"&gt;"&amp;O14,$X$5:$X$204,"&lt;&gt;Done",$X$5:$X$204,"&lt;&gt;Rejected")+1)</f>
        <v>15</v>
      </c>
      <c r="Q14" s="26" t="n">
        <v>30</v>
      </c>
      <c r="R14" s="26" t="n">
        <v>25</v>
      </c>
      <c r="S14" s="28" t="n">
        <f aca="false">IF(R14="","",R14*Settings!$B$5)</f>
        <v>18750</v>
      </c>
      <c r="T14" s="28" t="n">
        <f aca="false">IF(Q14="","",Q14*12*Settings!$B$5/8)</f>
        <v>33750</v>
      </c>
      <c r="U14" s="27" t="n">
        <f aca="false">IF(OR(S14="",T14="",T14=0),"",ROUND(S14/(T14/12),1))</f>
        <v>6.7</v>
      </c>
      <c r="V14" s="29" t="s">
        <v>202</v>
      </c>
      <c r="W14" s="29" t="s">
        <v>203</v>
      </c>
      <c r="X14" s="25" t="s">
        <v>44</v>
      </c>
      <c r="Y14" s="25" t="s">
        <v>138</v>
      </c>
      <c r="Z14" s="30" t="n">
        <v>46266</v>
      </c>
      <c r="AA14" s="30"/>
      <c r="AB14" s="27" t="n">
        <f aca="true">IF(Z14="","",IF(AA14="",TODAY(),AA14)-Z14)</f>
        <v>26</v>
      </c>
      <c r="AC14" s="31" t="str">
        <f aca="false">IF(AB14="","",IF(AND(OR(X14="New",X14="Triaged"),AB14&gt;Settings!$B$9),"STALE",""))</f>
        <v/>
      </c>
      <c r="AD14" s="24" t="s">
        <v>204</v>
      </c>
    </row>
    <row r="15" customFormat="false" ht="15" hidden="false" customHeight="false" outlineLevel="0" collapsed="false">
      <c r="A15" s="23" t="s">
        <v>205</v>
      </c>
      <c r="B15" s="24" t="s">
        <v>206</v>
      </c>
      <c r="C15" s="25" t="s">
        <v>29</v>
      </c>
      <c r="D15" s="25" t="s">
        <v>79</v>
      </c>
      <c r="E15" s="25" t="s">
        <v>169</v>
      </c>
      <c r="F15" s="24" t="s">
        <v>207</v>
      </c>
      <c r="G15" s="25" t="s">
        <v>160</v>
      </c>
      <c r="H15" s="25" t="s">
        <v>135</v>
      </c>
      <c r="I15" s="25" t="s">
        <v>145</v>
      </c>
      <c r="J15" s="25" t="s">
        <v>208</v>
      </c>
      <c r="K15" s="26" t="n">
        <v>8</v>
      </c>
      <c r="L15" s="26" t="n">
        <v>13</v>
      </c>
      <c r="M15" s="26" t="n">
        <v>8</v>
      </c>
      <c r="N15" s="26" t="n">
        <v>2</v>
      </c>
      <c r="O15" s="27" t="n">
        <f aca="false">IF(OR(N15="",N15=0),"",ROUND((K15+L15+M15)/N15,1))</f>
        <v>14.5</v>
      </c>
      <c r="P15" s="27" t="n">
        <f aca="false">IF(OR(O15="",X15="Done",X15="Rejected"),"",COUNTIFS($O$5:$O$204,"&gt;"&amp;O15,$X$5:$X$204,"&lt;&gt;Done",$X$5:$X$204,"&lt;&gt;Rejected")+1)</f>
        <v>1</v>
      </c>
      <c r="Q15" s="26" t="n">
        <v>20</v>
      </c>
      <c r="R15" s="26" t="n">
        <v>4</v>
      </c>
      <c r="S15" s="28" t="n">
        <f aca="false">IF(R15="","",R15*Settings!$B$5)</f>
        <v>3000</v>
      </c>
      <c r="T15" s="28" t="n">
        <f aca="false">IF(Q15="","",Q15*12*Settings!$B$5/8)</f>
        <v>22500</v>
      </c>
      <c r="U15" s="27" t="n">
        <f aca="false">IF(OR(S15="",T15="",T15=0),"",ROUND(S15/(T15/12),1))</f>
        <v>1.6</v>
      </c>
      <c r="V15" s="29" t="s">
        <v>209</v>
      </c>
      <c r="W15" s="29" t="s">
        <v>163</v>
      </c>
      <c r="X15" s="25" t="s">
        <v>46</v>
      </c>
      <c r="Y15" s="25" t="s">
        <v>148</v>
      </c>
      <c r="Z15" s="30" t="n">
        <v>46283</v>
      </c>
      <c r="AA15" s="30"/>
      <c r="AB15" s="27" t="n">
        <f aca="true">IF(Z15="","",IF(AA15="",TODAY(),AA15)-Z15)</f>
        <v>9</v>
      </c>
      <c r="AC15" s="31" t="str">
        <f aca="false">IF(AB15="","",IF(AND(OR(X15="New",X15="Triaged"),AB15&gt;Settings!$B$9),"STALE",""))</f>
        <v/>
      </c>
      <c r="AD15" s="24" t="s">
        <v>210</v>
      </c>
    </row>
    <row r="16" customFormat="false" ht="23.85" hidden="false" customHeight="false" outlineLevel="0" collapsed="false">
      <c r="A16" s="23" t="s">
        <v>211</v>
      </c>
      <c r="B16" s="24" t="s">
        <v>212</v>
      </c>
      <c r="C16" s="25" t="s">
        <v>33</v>
      </c>
      <c r="D16" s="25" t="s">
        <v>79</v>
      </c>
      <c r="E16" s="25" t="s">
        <v>152</v>
      </c>
      <c r="F16" s="24" t="s">
        <v>213</v>
      </c>
      <c r="G16" s="25" t="s">
        <v>135</v>
      </c>
      <c r="H16" s="25" t="s">
        <v>144</v>
      </c>
      <c r="I16" s="25" t="s">
        <v>134</v>
      </c>
      <c r="J16" s="25" t="s">
        <v>135</v>
      </c>
      <c r="K16" s="26" t="n">
        <v>5</v>
      </c>
      <c r="L16" s="26" t="n">
        <v>8</v>
      </c>
      <c r="M16" s="26" t="n">
        <v>13</v>
      </c>
      <c r="N16" s="26" t="n">
        <v>5</v>
      </c>
      <c r="O16" s="27" t="n">
        <f aca="false">IF(OR(N16="",N16=0),"",ROUND((K16+L16+M16)/N16,1))</f>
        <v>5.2</v>
      </c>
      <c r="P16" s="27" t="n">
        <f aca="false">IF(OR(O16="",X16="Done",X16="Rejected"),"",COUNTIFS($O$5:$O$204,"&gt;"&amp;O16,$X$5:$X$204,"&lt;&gt;Done",$X$5:$X$204,"&lt;&gt;Rejected")+1)</f>
        <v>5</v>
      </c>
      <c r="Q16" s="26" t="n">
        <v>0</v>
      </c>
      <c r="R16" s="26" t="n">
        <v>15</v>
      </c>
      <c r="S16" s="28" t="n">
        <f aca="false">IF(R16="","",R16*Settings!$B$5)</f>
        <v>11250</v>
      </c>
      <c r="T16" s="28" t="n">
        <f aca="false">IF(Q16="","",Q16*12*Settings!$B$5/8)</f>
        <v>0</v>
      </c>
      <c r="U16" s="27" t="str">
        <f aca="false">IF(OR(S16="",T16="",T16=0),"",ROUND(S16/(T16/12),1))</f>
        <v/>
      </c>
      <c r="V16" s="29" t="s">
        <v>154</v>
      </c>
      <c r="W16" s="29" t="s">
        <v>163</v>
      </c>
      <c r="X16" s="25" t="s">
        <v>45</v>
      </c>
      <c r="Y16" s="25" t="s">
        <v>148</v>
      </c>
      <c r="Z16" s="30" t="n">
        <v>46270</v>
      </c>
      <c r="AA16" s="30"/>
      <c r="AB16" s="27" t="n">
        <f aca="true">IF(Z16="","",IF(AA16="",TODAY(),AA16)-Z16)</f>
        <v>22</v>
      </c>
      <c r="AC16" s="31" t="str">
        <f aca="false">IF(AB16="","",IF(AND(OR(X16="New",X16="Triaged"),AB16&gt;Settings!$B$9),"STALE",""))</f>
        <v/>
      </c>
      <c r="AD16" s="24"/>
    </row>
    <row r="17" customFormat="false" ht="23.85" hidden="false" customHeight="false" outlineLevel="0" collapsed="false">
      <c r="A17" s="23" t="s">
        <v>214</v>
      </c>
      <c r="B17" s="24" t="s">
        <v>215</v>
      </c>
      <c r="C17" s="25" t="s">
        <v>27</v>
      </c>
      <c r="D17" s="25" t="s">
        <v>72</v>
      </c>
      <c r="E17" s="25" t="s">
        <v>142</v>
      </c>
      <c r="F17" s="24" t="s">
        <v>216</v>
      </c>
      <c r="G17" s="25" t="s">
        <v>132</v>
      </c>
      <c r="H17" s="25" t="s">
        <v>133</v>
      </c>
      <c r="I17" s="25" t="s">
        <v>145</v>
      </c>
      <c r="J17" s="25" t="s">
        <v>135</v>
      </c>
      <c r="K17" s="26" t="n">
        <v>5</v>
      </c>
      <c r="L17" s="26" t="n">
        <v>2</v>
      </c>
      <c r="M17" s="26" t="n">
        <v>5</v>
      </c>
      <c r="N17" s="26" t="n">
        <v>8</v>
      </c>
      <c r="O17" s="27" t="n">
        <f aca="false">IF(OR(N17="",N17=0),"",ROUND((K17+L17+M17)/N17,1))</f>
        <v>1.5</v>
      </c>
      <c r="P17" s="27" t="n">
        <f aca="false">IF(OR(O17="",X17="Done",X17="Rejected"),"",COUNTIFS($O$5:$O$204,"&gt;"&amp;O17,$X$5:$X$204,"&lt;&gt;Done",$X$5:$X$204,"&lt;&gt;Rejected")+1)</f>
        <v>20</v>
      </c>
      <c r="Q17" s="26" t="n">
        <v>15</v>
      </c>
      <c r="R17" s="26" t="n">
        <v>30</v>
      </c>
      <c r="S17" s="28" t="n">
        <f aca="false">IF(R17="","",R17*Settings!$B$5)</f>
        <v>22500</v>
      </c>
      <c r="T17" s="28" t="n">
        <f aca="false">IF(Q17="","",Q17*12*Settings!$B$5/8)</f>
        <v>16875</v>
      </c>
      <c r="U17" s="27" t="n">
        <f aca="false">IF(OR(S17="",T17="",T17=0),"",ROUND(S17/(T17/12),1))</f>
        <v>16</v>
      </c>
      <c r="V17" s="29" t="s">
        <v>146</v>
      </c>
      <c r="W17" s="29" t="s">
        <v>180</v>
      </c>
      <c r="X17" s="25" t="s">
        <v>43</v>
      </c>
      <c r="Y17" s="25" t="s">
        <v>217</v>
      </c>
      <c r="Z17" s="30" t="n">
        <v>46285</v>
      </c>
      <c r="AA17" s="30"/>
      <c r="AB17" s="27" t="n">
        <f aca="true">IF(Z17="","",IF(AA17="",TODAY(),AA17)-Z17)</f>
        <v>7</v>
      </c>
      <c r="AC17" s="31" t="str">
        <f aca="false">IF(AB17="","",IF(AND(OR(X17="New",X17="Triaged"),AB17&gt;Settings!$B$9),"STALE",""))</f>
        <v/>
      </c>
      <c r="AD17" s="24"/>
    </row>
    <row r="18" customFormat="false" ht="23.85" hidden="false" customHeight="false" outlineLevel="0" collapsed="false">
      <c r="A18" s="23" t="s">
        <v>218</v>
      </c>
      <c r="B18" s="24" t="s">
        <v>219</v>
      </c>
      <c r="C18" s="25" t="s">
        <v>31</v>
      </c>
      <c r="D18" s="25" t="s">
        <v>72</v>
      </c>
      <c r="E18" s="25" t="s">
        <v>189</v>
      </c>
      <c r="F18" s="24" t="s">
        <v>220</v>
      </c>
      <c r="G18" s="25" t="s">
        <v>135</v>
      </c>
      <c r="H18" s="25" t="s">
        <v>144</v>
      </c>
      <c r="I18" s="25" t="s">
        <v>145</v>
      </c>
      <c r="J18" s="25" t="s">
        <v>135</v>
      </c>
      <c r="K18" s="26" t="n">
        <v>8</v>
      </c>
      <c r="L18" s="26" t="n">
        <v>3</v>
      </c>
      <c r="M18" s="26" t="n">
        <v>5</v>
      </c>
      <c r="N18" s="26" t="n">
        <v>5</v>
      </c>
      <c r="O18" s="27" t="n">
        <f aca="false">IF(OR(N18="",N18=0),"",ROUND((K18+L18+M18)/N18,1))</f>
        <v>3.2</v>
      </c>
      <c r="P18" s="27" t="n">
        <f aca="false">IF(OR(O18="",X18="Done",X18="Rejected"),"",COUNTIFS($O$5:$O$204,"&gt;"&amp;O18,$X$5:$X$204,"&lt;&gt;Done",$X$5:$X$204,"&lt;&gt;Rejected")+1)</f>
        <v>12</v>
      </c>
      <c r="Q18" s="26" t="n">
        <v>10</v>
      </c>
      <c r="R18" s="26" t="n">
        <v>15</v>
      </c>
      <c r="S18" s="28" t="n">
        <f aca="false">IF(R18="","",R18*Settings!$B$5)</f>
        <v>11250</v>
      </c>
      <c r="T18" s="28" t="n">
        <f aca="false">IF(Q18="","",Q18*12*Settings!$B$5/8)</f>
        <v>11250</v>
      </c>
      <c r="U18" s="27" t="n">
        <f aca="false">IF(OR(S18="",T18="",T18=0),"",ROUND(S18/(T18/12),1))</f>
        <v>12</v>
      </c>
      <c r="V18" s="29" t="s">
        <v>162</v>
      </c>
      <c r="W18" s="29" t="s">
        <v>155</v>
      </c>
      <c r="X18" s="25" t="s">
        <v>43</v>
      </c>
      <c r="Y18" s="25" t="s">
        <v>164</v>
      </c>
      <c r="Z18" s="30" t="n">
        <v>46285</v>
      </c>
      <c r="AA18" s="30"/>
      <c r="AB18" s="27" t="n">
        <f aca="true">IF(Z18="","",IF(AA18="",TODAY(),AA18)-Z18)</f>
        <v>7</v>
      </c>
      <c r="AC18" s="31" t="str">
        <f aca="false">IF(AB18="","",IF(AND(OR(X18="New",X18="Triaged"),AB18&gt;Settings!$B$9),"STALE",""))</f>
        <v/>
      </c>
      <c r="AD18" s="24" t="s">
        <v>221</v>
      </c>
    </row>
    <row r="19" customFormat="false" ht="23.85" hidden="false" customHeight="false" outlineLevel="0" collapsed="false">
      <c r="A19" s="23" t="s">
        <v>222</v>
      </c>
      <c r="B19" s="24" t="s">
        <v>223</v>
      </c>
      <c r="C19" s="25" t="s">
        <v>33</v>
      </c>
      <c r="D19" s="25" t="s">
        <v>89</v>
      </c>
      <c r="E19" s="25" t="s">
        <v>195</v>
      </c>
      <c r="F19" s="24" t="s">
        <v>224</v>
      </c>
      <c r="G19" s="25" t="s">
        <v>160</v>
      </c>
      <c r="H19" s="25" t="s">
        <v>135</v>
      </c>
      <c r="I19" s="25" t="s">
        <v>145</v>
      </c>
      <c r="J19" s="25" t="s">
        <v>135</v>
      </c>
      <c r="K19" s="26" t="n">
        <v>3</v>
      </c>
      <c r="L19" s="26" t="n">
        <v>3</v>
      </c>
      <c r="M19" s="26" t="n">
        <v>8</v>
      </c>
      <c r="N19" s="26" t="n">
        <v>5</v>
      </c>
      <c r="O19" s="27" t="n">
        <f aca="false">IF(OR(N19="",N19=0),"",ROUND((K19+L19+M19)/N19,1))</f>
        <v>2.8</v>
      </c>
      <c r="P19" s="27" t="n">
        <f aca="false">IF(OR(O19="",X19="Done",X19="Rejected"),"",COUNTIFS($O$5:$O$204,"&gt;"&amp;O19,$X$5:$X$204,"&lt;&gt;Done",$X$5:$X$204,"&lt;&gt;Rejected")+1)</f>
        <v>14</v>
      </c>
      <c r="Q19" s="26" t="n">
        <v>12</v>
      </c>
      <c r="R19" s="26" t="n">
        <v>12</v>
      </c>
      <c r="S19" s="28" t="n">
        <f aca="false">IF(R19="","",R19*Settings!$B$5)</f>
        <v>9000</v>
      </c>
      <c r="T19" s="28" t="n">
        <f aca="false">IF(Q19="","",Q19*12*Settings!$B$5/8)</f>
        <v>13500</v>
      </c>
      <c r="U19" s="27" t="n">
        <f aca="false">IF(OR(S19="",T19="",T19=0),"",ROUND(S19/(T19/12),1))</f>
        <v>8</v>
      </c>
      <c r="V19" s="29" t="s">
        <v>154</v>
      </c>
      <c r="W19" s="29" t="s">
        <v>197</v>
      </c>
      <c r="X19" s="25" t="s">
        <v>43</v>
      </c>
      <c r="Y19" s="25" t="s">
        <v>164</v>
      </c>
      <c r="Z19" s="30" t="n">
        <v>46286</v>
      </c>
      <c r="AA19" s="30"/>
      <c r="AB19" s="27" t="n">
        <f aca="true">IF(Z19="","",IF(AA19="",TODAY(),AA19)-Z19)</f>
        <v>6</v>
      </c>
      <c r="AC19" s="31" t="str">
        <f aca="false">IF(AB19="","",IF(AND(OR(X19="New",X19="Triaged"),AB19&gt;Settings!$B$9),"STALE",""))</f>
        <v/>
      </c>
      <c r="AD19" s="24"/>
    </row>
    <row r="20" customFormat="false" ht="15" hidden="false" customHeight="false" outlineLevel="0" collapsed="false">
      <c r="A20" s="23" t="s">
        <v>225</v>
      </c>
      <c r="B20" s="24" t="s">
        <v>226</v>
      </c>
      <c r="C20" s="25" t="s">
        <v>29</v>
      </c>
      <c r="D20" s="25" t="s">
        <v>168</v>
      </c>
      <c r="E20" s="25" t="s">
        <v>169</v>
      </c>
      <c r="F20" s="24" t="s">
        <v>227</v>
      </c>
      <c r="G20" s="25" t="s">
        <v>160</v>
      </c>
      <c r="H20" s="25" t="s">
        <v>135</v>
      </c>
      <c r="I20" s="25" t="s">
        <v>145</v>
      </c>
      <c r="J20" s="25" t="s">
        <v>228</v>
      </c>
      <c r="K20" s="26" t="n">
        <v>1</v>
      </c>
      <c r="L20" s="26" t="n">
        <v>1</v>
      </c>
      <c r="M20" s="26" t="n">
        <v>1</v>
      </c>
      <c r="N20" s="26" t="n">
        <v>1</v>
      </c>
      <c r="O20" s="27" t="n">
        <f aca="false">IF(OR(N20="",N20=0),"",ROUND((K20+L20+M20)/N20,1))</f>
        <v>3</v>
      </c>
      <c r="P20" s="27" t="n">
        <f aca="false">IF(OR(O20="",X20="Done",X20="Rejected"),"",COUNTIFS($O$5:$O$204,"&gt;"&amp;O20,$X$5:$X$204,"&lt;&gt;Done",$X$5:$X$204,"&lt;&gt;Rejected")+1)</f>
        <v>13</v>
      </c>
      <c r="Q20" s="26" t="n">
        <v>2</v>
      </c>
      <c r="R20" s="26" t="n">
        <v>1</v>
      </c>
      <c r="S20" s="28" t="n">
        <f aca="false">IF(R20="","",R20*Settings!$B$5)</f>
        <v>750</v>
      </c>
      <c r="T20" s="28" t="n">
        <f aca="false">IF(Q20="","",Q20*12*Settings!$B$5/8)</f>
        <v>2250</v>
      </c>
      <c r="U20" s="27" t="n">
        <f aca="false">IF(OR(S20="",T20="",T20=0),"",ROUND(S20/(T20/12),1))</f>
        <v>4</v>
      </c>
      <c r="V20" s="29" t="s">
        <v>229</v>
      </c>
      <c r="W20" s="29" t="s">
        <v>174</v>
      </c>
      <c r="X20" s="25" t="s">
        <v>43</v>
      </c>
      <c r="Y20" s="25" t="s">
        <v>230</v>
      </c>
      <c r="Z20" s="30" t="n">
        <v>46183</v>
      </c>
      <c r="AA20" s="30"/>
      <c r="AB20" s="27" t="n">
        <f aca="true">IF(Z20="","",IF(AA20="",TODAY(),AA20)-Z20)</f>
        <v>109</v>
      </c>
      <c r="AC20" s="31" t="str">
        <f aca="false">IF(AB20="","",IF(AND(OR(X20="New",X20="Triaged"),AB20&gt;Settings!$B$9),"STALE",""))</f>
        <v>STALE</v>
      </c>
      <c r="AD20" s="24"/>
    </row>
    <row r="21" customFormat="false" ht="23.85" hidden="false" customHeight="false" outlineLevel="0" collapsed="false">
      <c r="A21" s="23" t="s">
        <v>231</v>
      </c>
      <c r="B21" s="24" t="s">
        <v>232</v>
      </c>
      <c r="C21" s="25" t="s">
        <v>27</v>
      </c>
      <c r="D21" s="25" t="s">
        <v>86</v>
      </c>
      <c r="E21" s="25" t="s">
        <v>169</v>
      </c>
      <c r="F21" s="24" t="s">
        <v>233</v>
      </c>
      <c r="G21" s="25" t="s">
        <v>171</v>
      </c>
      <c r="H21" s="25" t="s">
        <v>133</v>
      </c>
      <c r="I21" s="25" t="s">
        <v>134</v>
      </c>
      <c r="J21" s="25" t="s">
        <v>135</v>
      </c>
      <c r="K21" s="26" t="n">
        <v>5</v>
      </c>
      <c r="L21" s="26" t="n">
        <v>3</v>
      </c>
      <c r="M21" s="26" t="n">
        <v>8</v>
      </c>
      <c r="N21" s="26" t="n">
        <v>3</v>
      </c>
      <c r="O21" s="27" t="n">
        <f aca="false">IF(OR(N21="",N21=0),"",ROUND((K21+L21+M21)/N21,1))</f>
        <v>5.3</v>
      </c>
      <c r="P21" s="27" t="n">
        <f aca="false">IF(OR(O21="",X21="Done",X21="Rejected"),"",COUNTIFS($O$5:$O$204,"&gt;"&amp;O21,$X$5:$X$204,"&lt;&gt;Done",$X$5:$X$204,"&lt;&gt;Rejected")+1)</f>
        <v>4</v>
      </c>
      <c r="Q21" s="26" t="n">
        <v>10</v>
      </c>
      <c r="R21" s="26" t="n">
        <v>8</v>
      </c>
      <c r="S21" s="28" t="n">
        <f aca="false">IF(R21="","",R21*Settings!$B$5)</f>
        <v>6000</v>
      </c>
      <c r="T21" s="28" t="n">
        <f aca="false">IF(Q21="","",Q21*12*Settings!$B$5/8)</f>
        <v>11250</v>
      </c>
      <c r="U21" s="27" t="n">
        <f aca="false">IF(OR(S21="",T21="",T21=0),"",ROUND(S21/(T21/12),1))</f>
        <v>6.4</v>
      </c>
      <c r="V21" s="29" t="s">
        <v>173</v>
      </c>
      <c r="W21" s="29" t="s">
        <v>203</v>
      </c>
      <c r="X21" s="25" t="s">
        <v>45</v>
      </c>
      <c r="Y21" s="25" t="s">
        <v>138</v>
      </c>
      <c r="Z21" s="30" t="n">
        <v>46266</v>
      </c>
      <c r="AA21" s="30"/>
      <c r="AB21" s="27" t="n">
        <f aca="true">IF(Z21="","",IF(AA21="",TODAY(),AA21)-Z21)</f>
        <v>26</v>
      </c>
      <c r="AC21" s="31" t="str">
        <f aca="false">IF(AB21="","",IF(AND(OR(X21="New",X21="Triaged"),AB21&gt;Settings!$B$9),"STALE",""))</f>
        <v/>
      </c>
      <c r="AD21" s="24"/>
    </row>
    <row r="22" customFormat="false" ht="23.85" hidden="false" customHeight="false" outlineLevel="0" collapsed="false">
      <c r="A22" s="23" t="s">
        <v>234</v>
      </c>
      <c r="B22" s="24" t="s">
        <v>235</v>
      </c>
      <c r="C22" s="25" t="s">
        <v>33</v>
      </c>
      <c r="D22" s="25" t="s">
        <v>89</v>
      </c>
      <c r="E22" s="25" t="s">
        <v>184</v>
      </c>
      <c r="F22" s="24" t="s">
        <v>236</v>
      </c>
      <c r="G22" s="25" t="s">
        <v>135</v>
      </c>
      <c r="H22" s="25" t="s">
        <v>135</v>
      </c>
      <c r="I22" s="25" t="s">
        <v>134</v>
      </c>
      <c r="J22" s="25" t="s">
        <v>135</v>
      </c>
      <c r="K22" s="26" t="n">
        <v>8</v>
      </c>
      <c r="L22" s="26" t="n">
        <v>5</v>
      </c>
      <c r="M22" s="26" t="n">
        <v>13</v>
      </c>
      <c r="N22" s="26" t="n">
        <v>13</v>
      </c>
      <c r="O22" s="27" t="n">
        <f aca="false">IF(OR(N22="",N22=0),"",ROUND((K22+L22+M22)/N22,1))</f>
        <v>2</v>
      </c>
      <c r="P22" s="27" t="n">
        <f aca="false">IF(OR(O22="",X22="Done",X22="Rejected"),"",COUNTIFS($O$5:$O$204,"&gt;"&amp;O22,$X$5:$X$204,"&lt;&gt;Done",$X$5:$X$204,"&lt;&gt;Rejected")+1)</f>
        <v>18</v>
      </c>
      <c r="Q22" s="26" t="n">
        <v>40</v>
      </c>
      <c r="R22" s="26" t="n">
        <v>50</v>
      </c>
      <c r="S22" s="28" t="n">
        <f aca="false">IF(R22="","",R22*Settings!$B$5)</f>
        <v>37500</v>
      </c>
      <c r="T22" s="28" t="n">
        <f aca="false">IF(Q22="","",Q22*12*Settings!$B$5/8)</f>
        <v>45000</v>
      </c>
      <c r="U22" s="27" t="n">
        <f aca="false">IF(OR(S22="",T22="",T22=0),"",ROUND(S22/(T22/12),1))</f>
        <v>10</v>
      </c>
      <c r="V22" s="29" t="s">
        <v>154</v>
      </c>
      <c r="W22" s="29" t="s">
        <v>237</v>
      </c>
      <c r="X22" s="25" t="s">
        <v>43</v>
      </c>
      <c r="Y22" s="25" t="s">
        <v>164</v>
      </c>
      <c r="Z22" s="30" t="n">
        <v>46286</v>
      </c>
      <c r="AA22" s="30"/>
      <c r="AB22" s="27" t="n">
        <f aca="true">IF(Z22="","",IF(AA22="",TODAY(),AA22)-Z22)</f>
        <v>6</v>
      </c>
      <c r="AC22" s="31" t="str">
        <f aca="false">IF(AB22="","",IF(AND(OR(X22="New",X22="Triaged"),AB22&gt;Settings!$B$9),"STALE",""))</f>
        <v/>
      </c>
      <c r="AD22" s="24" t="s">
        <v>238</v>
      </c>
    </row>
    <row r="23" customFormat="false" ht="23.85" hidden="false" customHeight="false" outlineLevel="0" collapsed="false">
      <c r="A23" s="23" t="s">
        <v>239</v>
      </c>
      <c r="B23" s="24" t="s">
        <v>240</v>
      </c>
      <c r="C23" s="25" t="s">
        <v>35</v>
      </c>
      <c r="D23" s="25" t="s">
        <v>79</v>
      </c>
      <c r="E23" s="25" t="s">
        <v>79</v>
      </c>
      <c r="F23" s="24" t="s">
        <v>241</v>
      </c>
      <c r="G23" s="25" t="s">
        <v>132</v>
      </c>
      <c r="H23" s="25" t="s">
        <v>135</v>
      </c>
      <c r="I23" s="25" t="s">
        <v>134</v>
      </c>
      <c r="J23" s="25" t="s">
        <v>135</v>
      </c>
      <c r="K23" s="26" t="n">
        <v>5</v>
      </c>
      <c r="L23" s="26" t="n">
        <v>8</v>
      </c>
      <c r="M23" s="26" t="n">
        <v>13</v>
      </c>
      <c r="N23" s="26" t="n">
        <v>5</v>
      </c>
      <c r="O23" s="27" t="n">
        <f aca="false">IF(OR(N23="",N23=0),"",ROUND((K23+L23+M23)/N23,1))</f>
        <v>5.2</v>
      </c>
      <c r="P23" s="27" t="n">
        <f aca="false">IF(OR(O23="",X23="Done",X23="Rejected"),"",COUNTIFS($O$5:$O$204,"&gt;"&amp;O23,$X$5:$X$204,"&lt;&gt;Done",$X$5:$X$204,"&lt;&gt;Rejected")+1)</f>
        <v>5</v>
      </c>
      <c r="Q23" s="26" t="n">
        <v>0</v>
      </c>
      <c r="R23" s="26" t="n">
        <v>10</v>
      </c>
      <c r="S23" s="28" t="n">
        <f aca="false">IF(R23="","",R23*Settings!$B$5)</f>
        <v>7500</v>
      </c>
      <c r="T23" s="28" t="n">
        <f aca="false">IF(Q23="","",Q23*12*Settings!$B$5/8)</f>
        <v>0</v>
      </c>
      <c r="U23" s="27" t="str">
        <f aca="false">IF(OR(S23="",T23="",T23=0),"",ROUND(S23/(T23/12),1))</f>
        <v/>
      </c>
      <c r="V23" s="29" t="s">
        <v>154</v>
      </c>
      <c r="W23" s="29" t="s">
        <v>163</v>
      </c>
      <c r="X23" s="25" t="s">
        <v>44</v>
      </c>
      <c r="Y23" s="25" t="s">
        <v>138</v>
      </c>
      <c r="Z23" s="30" t="n">
        <v>46275</v>
      </c>
      <c r="AA23" s="30"/>
      <c r="AB23" s="27" t="n">
        <f aca="true">IF(Z23="","",IF(AA23="",TODAY(),AA23)-Z23)</f>
        <v>17</v>
      </c>
      <c r="AC23" s="31" t="str">
        <f aca="false">IF(AB23="","",IF(AND(OR(X23="New",X23="Triaged"),AB23&gt;Settings!$B$9),"STALE",""))</f>
        <v/>
      </c>
      <c r="AD23" s="24" t="s">
        <v>242</v>
      </c>
    </row>
    <row r="24" customFormat="false" ht="23.85" hidden="false" customHeight="false" outlineLevel="0" collapsed="false">
      <c r="A24" s="23" t="s">
        <v>243</v>
      </c>
      <c r="B24" s="24" t="s">
        <v>244</v>
      </c>
      <c r="C24" s="25" t="s">
        <v>31</v>
      </c>
      <c r="D24" s="25" t="s">
        <v>168</v>
      </c>
      <c r="E24" s="25" t="s">
        <v>184</v>
      </c>
      <c r="F24" s="24" t="s">
        <v>245</v>
      </c>
      <c r="G24" s="25" t="s">
        <v>135</v>
      </c>
      <c r="H24" s="25" t="s">
        <v>144</v>
      </c>
      <c r="I24" s="25" t="s">
        <v>145</v>
      </c>
      <c r="J24" s="25" t="s">
        <v>135</v>
      </c>
      <c r="K24" s="26" t="n">
        <v>5</v>
      </c>
      <c r="L24" s="26" t="n">
        <v>2</v>
      </c>
      <c r="M24" s="26" t="n">
        <v>8</v>
      </c>
      <c r="N24" s="26" t="n">
        <v>2</v>
      </c>
      <c r="O24" s="27" t="n">
        <f aca="false">IF(OR(N24="",N24=0),"",ROUND((K24+L24+M24)/N24,1))</f>
        <v>7.5</v>
      </c>
      <c r="P24" s="27" t="n">
        <f aca="false">IF(OR(O24="",X24="Done",X24="Rejected"),"",COUNTIFS($O$5:$O$204,"&gt;"&amp;O24,$X$5:$X$204,"&lt;&gt;Done",$X$5:$X$204,"&lt;&gt;Rejected")+1)</f>
        <v>3</v>
      </c>
      <c r="Q24" s="26" t="n">
        <v>0</v>
      </c>
      <c r="R24" s="26" t="n">
        <v>5</v>
      </c>
      <c r="S24" s="28" t="n">
        <f aca="false">IF(R24="","",R24*Settings!$B$5)</f>
        <v>3750</v>
      </c>
      <c r="T24" s="28" t="n">
        <f aca="false">IF(Q24="","",Q24*12*Settings!$B$5/8)</f>
        <v>0</v>
      </c>
      <c r="U24" s="27" t="str">
        <f aca="false">IF(OR(S24="",T24="",T24=0),"",ROUND(S24/(T24/12),1))</f>
        <v/>
      </c>
      <c r="V24" s="29" t="s">
        <v>154</v>
      </c>
      <c r="W24" s="29" t="s">
        <v>246</v>
      </c>
      <c r="X24" s="25" t="s">
        <v>43</v>
      </c>
      <c r="Y24" s="25" t="s">
        <v>217</v>
      </c>
      <c r="Z24" s="30" t="n">
        <v>46290</v>
      </c>
      <c r="AA24" s="30"/>
      <c r="AB24" s="27" t="n">
        <f aca="true">IF(Z24="","",IF(AA24="",TODAY(),AA24)-Z24)</f>
        <v>2</v>
      </c>
      <c r="AC24" s="31" t="str">
        <f aca="false">IF(AB24="","",IF(AND(OR(X24="New",X24="Triaged"),AB24&gt;Settings!$B$9),"STALE",""))</f>
        <v/>
      </c>
      <c r="AD24" s="24" t="s">
        <v>247</v>
      </c>
    </row>
    <row r="25" customFormat="false" ht="15" hidden="false" customHeight="false" outlineLevel="0" collapsed="false">
      <c r="A25" s="23"/>
      <c r="B25" s="24"/>
      <c r="C25" s="25"/>
      <c r="D25" s="25"/>
      <c r="E25" s="25"/>
      <c r="F25" s="24"/>
      <c r="G25" s="25"/>
      <c r="H25" s="25"/>
      <c r="I25" s="25"/>
      <c r="J25" s="25"/>
      <c r="K25" s="26"/>
      <c r="L25" s="26"/>
      <c r="M25" s="26"/>
      <c r="N25" s="26"/>
      <c r="O25" s="27" t="str">
        <f aca="false">IF(OR(N25="",N25=0),"",ROUND((K25+L25+M25)/N25,1))</f>
        <v/>
      </c>
      <c r="P25" s="27" t="str">
        <f aca="false">IF(OR(O25="",X25="Done",X25="Rejected"),"",COUNTIFS($O$5:$O$204,"&gt;"&amp;O25,$X$5:$X$204,"&lt;&gt;Done",$X$5:$X$204,"&lt;&gt;Rejected")+1)</f>
        <v/>
      </c>
      <c r="Q25" s="26"/>
      <c r="R25" s="26"/>
      <c r="S25" s="28" t="str">
        <f aca="false">IF(R25="","",R25*Settings!$B$5)</f>
        <v/>
      </c>
      <c r="T25" s="28" t="str">
        <f aca="false">IF(Q25="","",Q25*12*Settings!$B$5/8)</f>
        <v/>
      </c>
      <c r="U25" s="27" t="str">
        <f aca="false">IF(OR(S25="",T25="",T25=0),"",ROUND(S25/(T25/12),1))</f>
        <v/>
      </c>
      <c r="V25" s="29"/>
      <c r="W25" s="29"/>
      <c r="X25" s="25"/>
      <c r="Y25" s="25"/>
      <c r="Z25" s="30"/>
      <c r="AA25" s="30"/>
      <c r="AB25" s="27" t="str">
        <f aca="true">IF(Z25="","",IF(AA25="",TODAY(),AA25)-Z25)</f>
        <v/>
      </c>
      <c r="AC25" s="31" t="str">
        <f aca="false">IF(AB25="","",IF(AND(OR(X25="New",X25="Triaged"),AB25&gt;Settings!$B$9),"STALE",""))</f>
        <v/>
      </c>
      <c r="AD25" s="24"/>
    </row>
    <row r="26" customFormat="false" ht="15" hidden="false" customHeight="false" outlineLevel="0" collapsed="false">
      <c r="A26" s="23"/>
      <c r="B26" s="24"/>
      <c r="C26" s="25"/>
      <c r="D26" s="25"/>
      <c r="E26" s="25"/>
      <c r="F26" s="24"/>
      <c r="G26" s="25"/>
      <c r="H26" s="25"/>
      <c r="I26" s="25"/>
      <c r="J26" s="25"/>
      <c r="K26" s="26"/>
      <c r="L26" s="26"/>
      <c r="M26" s="26"/>
      <c r="N26" s="26"/>
      <c r="O26" s="27" t="str">
        <f aca="false">IF(OR(N26="",N26=0),"",ROUND((K26+L26+M26)/N26,1))</f>
        <v/>
      </c>
      <c r="P26" s="27" t="str">
        <f aca="false">IF(OR(O26="",X26="Done",X26="Rejected"),"",COUNTIFS($O$5:$O$204,"&gt;"&amp;O26,$X$5:$X$204,"&lt;&gt;Done",$X$5:$X$204,"&lt;&gt;Rejected")+1)</f>
        <v/>
      </c>
      <c r="Q26" s="26"/>
      <c r="R26" s="26"/>
      <c r="S26" s="28" t="str">
        <f aca="false">IF(R26="","",R26*Settings!$B$5)</f>
        <v/>
      </c>
      <c r="T26" s="28" t="str">
        <f aca="false">IF(Q26="","",Q26*12*Settings!$B$5/8)</f>
        <v/>
      </c>
      <c r="U26" s="27" t="str">
        <f aca="false">IF(OR(S26="",T26="",T26=0),"",ROUND(S26/(T26/12),1))</f>
        <v/>
      </c>
      <c r="V26" s="29"/>
      <c r="W26" s="29"/>
      <c r="X26" s="25"/>
      <c r="Y26" s="25"/>
      <c r="Z26" s="30"/>
      <c r="AA26" s="30"/>
      <c r="AB26" s="27" t="str">
        <f aca="true">IF(Z26="","",IF(AA26="",TODAY(),AA26)-Z26)</f>
        <v/>
      </c>
      <c r="AC26" s="31" t="str">
        <f aca="false">IF(AB26="","",IF(AND(OR(X26="New",X26="Triaged"),AB26&gt;Settings!$B$9),"STALE",""))</f>
        <v/>
      </c>
      <c r="AD26" s="24"/>
    </row>
    <row r="27" customFormat="false" ht="15" hidden="false" customHeight="false" outlineLevel="0" collapsed="false">
      <c r="A27" s="23"/>
      <c r="B27" s="24"/>
      <c r="C27" s="25"/>
      <c r="D27" s="25"/>
      <c r="E27" s="25"/>
      <c r="F27" s="24"/>
      <c r="G27" s="25"/>
      <c r="H27" s="25"/>
      <c r="I27" s="25"/>
      <c r="J27" s="25"/>
      <c r="K27" s="26"/>
      <c r="L27" s="26"/>
      <c r="M27" s="26"/>
      <c r="N27" s="26"/>
      <c r="O27" s="27" t="str">
        <f aca="false">IF(OR(N27="",N27=0),"",ROUND((K27+L27+M27)/N27,1))</f>
        <v/>
      </c>
      <c r="P27" s="27" t="str">
        <f aca="false">IF(OR(O27="",X27="Done",X27="Rejected"),"",COUNTIFS($O$5:$O$204,"&gt;"&amp;O27,$X$5:$X$204,"&lt;&gt;Done",$X$5:$X$204,"&lt;&gt;Rejected")+1)</f>
        <v/>
      </c>
      <c r="Q27" s="26"/>
      <c r="R27" s="26"/>
      <c r="S27" s="28" t="str">
        <f aca="false">IF(R27="","",R27*Settings!$B$5)</f>
        <v/>
      </c>
      <c r="T27" s="28" t="str">
        <f aca="false">IF(Q27="","",Q27*12*Settings!$B$5/8)</f>
        <v/>
      </c>
      <c r="U27" s="27" t="str">
        <f aca="false">IF(OR(S27="",T27="",T27=0),"",ROUND(S27/(T27/12),1))</f>
        <v/>
      </c>
      <c r="V27" s="29"/>
      <c r="W27" s="29"/>
      <c r="X27" s="25"/>
      <c r="Y27" s="25"/>
      <c r="Z27" s="30"/>
      <c r="AA27" s="30"/>
      <c r="AB27" s="27" t="str">
        <f aca="true">IF(Z27="","",IF(AA27="",TODAY(),AA27)-Z27)</f>
        <v/>
      </c>
      <c r="AC27" s="31" t="str">
        <f aca="false">IF(AB27="","",IF(AND(OR(X27="New",X27="Triaged"),AB27&gt;Settings!$B$9),"STALE",""))</f>
        <v/>
      </c>
      <c r="AD27" s="24"/>
    </row>
    <row r="28" customFormat="false" ht="15" hidden="false" customHeight="false" outlineLevel="0" collapsed="false">
      <c r="A28" s="23"/>
      <c r="B28" s="24"/>
      <c r="C28" s="25"/>
      <c r="D28" s="25"/>
      <c r="E28" s="25"/>
      <c r="F28" s="24"/>
      <c r="G28" s="25"/>
      <c r="H28" s="25"/>
      <c r="I28" s="25"/>
      <c r="J28" s="25"/>
      <c r="K28" s="26"/>
      <c r="L28" s="26"/>
      <c r="M28" s="26"/>
      <c r="N28" s="26"/>
      <c r="O28" s="27" t="str">
        <f aca="false">IF(OR(N28="",N28=0),"",ROUND((K28+L28+M28)/N28,1))</f>
        <v/>
      </c>
      <c r="P28" s="27" t="str">
        <f aca="false">IF(OR(O28="",X28="Done",X28="Rejected"),"",COUNTIFS($O$5:$O$204,"&gt;"&amp;O28,$X$5:$X$204,"&lt;&gt;Done",$X$5:$X$204,"&lt;&gt;Rejected")+1)</f>
        <v/>
      </c>
      <c r="Q28" s="26"/>
      <c r="R28" s="26"/>
      <c r="S28" s="28" t="str">
        <f aca="false">IF(R28="","",R28*Settings!$B$5)</f>
        <v/>
      </c>
      <c r="T28" s="28" t="str">
        <f aca="false">IF(Q28="","",Q28*12*Settings!$B$5/8)</f>
        <v/>
      </c>
      <c r="U28" s="27" t="str">
        <f aca="false">IF(OR(S28="",T28="",T28=0),"",ROUND(S28/(T28/12),1))</f>
        <v/>
      </c>
      <c r="V28" s="29"/>
      <c r="W28" s="29"/>
      <c r="X28" s="25"/>
      <c r="Y28" s="25"/>
      <c r="Z28" s="30"/>
      <c r="AA28" s="30"/>
      <c r="AB28" s="27" t="str">
        <f aca="true">IF(Z28="","",IF(AA28="",TODAY(),AA28)-Z28)</f>
        <v/>
      </c>
      <c r="AC28" s="31" t="str">
        <f aca="false">IF(AB28="","",IF(AND(OR(X28="New",X28="Triaged"),AB28&gt;Settings!$B$9),"STALE",""))</f>
        <v/>
      </c>
      <c r="AD28" s="24"/>
    </row>
    <row r="29" customFormat="false" ht="15" hidden="false" customHeight="false" outlineLevel="0" collapsed="false">
      <c r="A29" s="23"/>
      <c r="B29" s="24"/>
      <c r="C29" s="25"/>
      <c r="D29" s="25"/>
      <c r="E29" s="25"/>
      <c r="F29" s="24"/>
      <c r="G29" s="25"/>
      <c r="H29" s="25"/>
      <c r="I29" s="25"/>
      <c r="J29" s="25"/>
      <c r="K29" s="26"/>
      <c r="L29" s="26"/>
      <c r="M29" s="26"/>
      <c r="N29" s="26"/>
      <c r="O29" s="27" t="str">
        <f aca="false">IF(OR(N29="",N29=0),"",ROUND((K29+L29+M29)/N29,1))</f>
        <v/>
      </c>
      <c r="P29" s="27" t="str">
        <f aca="false">IF(OR(O29="",X29="Done",X29="Rejected"),"",COUNTIFS($O$5:$O$204,"&gt;"&amp;O29,$X$5:$X$204,"&lt;&gt;Done",$X$5:$X$204,"&lt;&gt;Rejected")+1)</f>
        <v/>
      </c>
      <c r="Q29" s="26"/>
      <c r="R29" s="26"/>
      <c r="S29" s="28" t="str">
        <f aca="false">IF(R29="","",R29*Settings!$B$5)</f>
        <v/>
      </c>
      <c r="T29" s="28" t="str">
        <f aca="false">IF(Q29="","",Q29*12*Settings!$B$5/8)</f>
        <v/>
      </c>
      <c r="U29" s="27" t="str">
        <f aca="false">IF(OR(S29="",T29="",T29=0),"",ROUND(S29/(T29/12),1))</f>
        <v/>
      </c>
      <c r="V29" s="29"/>
      <c r="W29" s="29"/>
      <c r="X29" s="25"/>
      <c r="Y29" s="25"/>
      <c r="Z29" s="30"/>
      <c r="AA29" s="30"/>
      <c r="AB29" s="27" t="str">
        <f aca="true">IF(Z29="","",IF(AA29="",TODAY(),AA29)-Z29)</f>
        <v/>
      </c>
      <c r="AC29" s="31" t="str">
        <f aca="false">IF(AB29="","",IF(AND(OR(X29="New",X29="Triaged"),AB29&gt;Settings!$B$9),"STALE",""))</f>
        <v/>
      </c>
      <c r="AD29" s="24"/>
    </row>
    <row r="30" customFormat="false" ht="15" hidden="false" customHeight="false" outlineLevel="0" collapsed="false">
      <c r="A30" s="23"/>
      <c r="B30" s="24"/>
      <c r="C30" s="25"/>
      <c r="D30" s="25"/>
      <c r="E30" s="25"/>
      <c r="F30" s="24"/>
      <c r="G30" s="25"/>
      <c r="H30" s="25"/>
      <c r="I30" s="25"/>
      <c r="J30" s="25"/>
      <c r="K30" s="26"/>
      <c r="L30" s="26"/>
      <c r="M30" s="26"/>
      <c r="N30" s="26"/>
      <c r="O30" s="27" t="str">
        <f aca="false">IF(OR(N30="",N30=0),"",ROUND((K30+L30+M30)/N30,1))</f>
        <v/>
      </c>
      <c r="P30" s="27" t="str">
        <f aca="false">IF(OR(O30="",X30="Done",X30="Rejected"),"",COUNTIFS($O$5:$O$204,"&gt;"&amp;O30,$X$5:$X$204,"&lt;&gt;Done",$X$5:$X$204,"&lt;&gt;Rejected")+1)</f>
        <v/>
      </c>
      <c r="Q30" s="26"/>
      <c r="R30" s="26"/>
      <c r="S30" s="28" t="str">
        <f aca="false">IF(R30="","",R30*Settings!$B$5)</f>
        <v/>
      </c>
      <c r="T30" s="28" t="str">
        <f aca="false">IF(Q30="","",Q30*12*Settings!$B$5/8)</f>
        <v/>
      </c>
      <c r="U30" s="27" t="str">
        <f aca="false">IF(OR(S30="",T30="",T30=0),"",ROUND(S30/(T30/12),1))</f>
        <v/>
      </c>
      <c r="V30" s="29"/>
      <c r="W30" s="29"/>
      <c r="X30" s="25"/>
      <c r="Y30" s="25"/>
      <c r="Z30" s="30"/>
      <c r="AA30" s="30"/>
      <c r="AB30" s="27" t="str">
        <f aca="true">IF(Z30="","",IF(AA30="",TODAY(),AA30)-Z30)</f>
        <v/>
      </c>
      <c r="AC30" s="31" t="str">
        <f aca="false">IF(AB30="","",IF(AND(OR(X30="New",X30="Triaged"),AB30&gt;Settings!$B$9),"STALE",""))</f>
        <v/>
      </c>
      <c r="AD30" s="24"/>
    </row>
    <row r="31" customFormat="false" ht="15" hidden="false" customHeight="false" outlineLevel="0" collapsed="false">
      <c r="A31" s="23"/>
      <c r="B31" s="24"/>
      <c r="C31" s="25"/>
      <c r="D31" s="25"/>
      <c r="E31" s="25"/>
      <c r="F31" s="24"/>
      <c r="G31" s="25"/>
      <c r="H31" s="25"/>
      <c r="I31" s="25"/>
      <c r="J31" s="25"/>
      <c r="K31" s="26"/>
      <c r="L31" s="26"/>
      <c r="M31" s="26"/>
      <c r="N31" s="26"/>
      <c r="O31" s="27" t="str">
        <f aca="false">IF(OR(N31="",N31=0),"",ROUND((K31+L31+M31)/N31,1))</f>
        <v/>
      </c>
      <c r="P31" s="27" t="str">
        <f aca="false">IF(OR(O31="",X31="Done",X31="Rejected"),"",COUNTIFS($O$5:$O$204,"&gt;"&amp;O31,$X$5:$X$204,"&lt;&gt;Done",$X$5:$X$204,"&lt;&gt;Rejected")+1)</f>
        <v/>
      </c>
      <c r="Q31" s="26"/>
      <c r="R31" s="26"/>
      <c r="S31" s="28" t="str">
        <f aca="false">IF(R31="","",R31*Settings!$B$5)</f>
        <v/>
      </c>
      <c r="T31" s="28" t="str">
        <f aca="false">IF(Q31="","",Q31*12*Settings!$B$5/8)</f>
        <v/>
      </c>
      <c r="U31" s="27" t="str">
        <f aca="false">IF(OR(S31="",T31="",T31=0),"",ROUND(S31/(T31/12),1))</f>
        <v/>
      </c>
      <c r="V31" s="29"/>
      <c r="W31" s="29"/>
      <c r="X31" s="25"/>
      <c r="Y31" s="25"/>
      <c r="Z31" s="30"/>
      <c r="AA31" s="30"/>
      <c r="AB31" s="27" t="str">
        <f aca="true">IF(Z31="","",IF(AA31="",TODAY(),AA31)-Z31)</f>
        <v/>
      </c>
      <c r="AC31" s="31" t="str">
        <f aca="false">IF(AB31="","",IF(AND(OR(X31="New",X31="Triaged"),AB31&gt;Settings!$B$9),"STALE",""))</f>
        <v/>
      </c>
      <c r="AD31" s="24"/>
    </row>
    <row r="32" customFormat="false" ht="15" hidden="false" customHeight="false" outlineLevel="0" collapsed="false">
      <c r="A32" s="23"/>
      <c r="B32" s="24"/>
      <c r="C32" s="25"/>
      <c r="D32" s="25"/>
      <c r="E32" s="25"/>
      <c r="F32" s="24"/>
      <c r="G32" s="25"/>
      <c r="H32" s="25"/>
      <c r="I32" s="25"/>
      <c r="J32" s="25"/>
      <c r="K32" s="26"/>
      <c r="L32" s="26"/>
      <c r="M32" s="26"/>
      <c r="N32" s="26"/>
      <c r="O32" s="27" t="str">
        <f aca="false">IF(OR(N32="",N32=0),"",ROUND((K32+L32+M32)/N32,1))</f>
        <v/>
      </c>
      <c r="P32" s="27" t="str">
        <f aca="false">IF(OR(O32="",X32="Done",X32="Rejected"),"",COUNTIFS($O$5:$O$204,"&gt;"&amp;O32,$X$5:$X$204,"&lt;&gt;Done",$X$5:$X$204,"&lt;&gt;Rejected")+1)</f>
        <v/>
      </c>
      <c r="Q32" s="26"/>
      <c r="R32" s="26"/>
      <c r="S32" s="28" t="str">
        <f aca="false">IF(R32="","",R32*Settings!$B$5)</f>
        <v/>
      </c>
      <c r="T32" s="28" t="str">
        <f aca="false">IF(Q32="","",Q32*12*Settings!$B$5/8)</f>
        <v/>
      </c>
      <c r="U32" s="27" t="str">
        <f aca="false">IF(OR(S32="",T32="",T32=0),"",ROUND(S32/(T32/12),1))</f>
        <v/>
      </c>
      <c r="V32" s="29"/>
      <c r="W32" s="29"/>
      <c r="X32" s="25"/>
      <c r="Y32" s="25"/>
      <c r="Z32" s="30"/>
      <c r="AA32" s="30"/>
      <c r="AB32" s="27" t="str">
        <f aca="true">IF(Z32="","",IF(AA32="",TODAY(),AA32)-Z32)</f>
        <v/>
      </c>
      <c r="AC32" s="31" t="str">
        <f aca="false">IF(AB32="","",IF(AND(OR(X32="New",X32="Triaged"),AB32&gt;Settings!$B$9),"STALE",""))</f>
        <v/>
      </c>
      <c r="AD32" s="24"/>
    </row>
    <row r="33" customFormat="false" ht="15" hidden="false" customHeight="false" outlineLevel="0" collapsed="false">
      <c r="A33" s="23"/>
      <c r="B33" s="24"/>
      <c r="C33" s="25"/>
      <c r="D33" s="25"/>
      <c r="E33" s="25"/>
      <c r="F33" s="24"/>
      <c r="G33" s="25"/>
      <c r="H33" s="25"/>
      <c r="I33" s="25"/>
      <c r="J33" s="25"/>
      <c r="K33" s="26"/>
      <c r="L33" s="26"/>
      <c r="M33" s="26"/>
      <c r="N33" s="26"/>
      <c r="O33" s="27" t="str">
        <f aca="false">IF(OR(N33="",N33=0),"",ROUND((K33+L33+M33)/N33,1))</f>
        <v/>
      </c>
      <c r="P33" s="27" t="str">
        <f aca="false">IF(OR(O33="",X33="Done",X33="Rejected"),"",COUNTIFS($O$5:$O$204,"&gt;"&amp;O33,$X$5:$X$204,"&lt;&gt;Done",$X$5:$X$204,"&lt;&gt;Rejected")+1)</f>
        <v/>
      </c>
      <c r="Q33" s="26"/>
      <c r="R33" s="26"/>
      <c r="S33" s="28" t="str">
        <f aca="false">IF(R33="","",R33*Settings!$B$5)</f>
        <v/>
      </c>
      <c r="T33" s="28" t="str">
        <f aca="false">IF(Q33="","",Q33*12*Settings!$B$5/8)</f>
        <v/>
      </c>
      <c r="U33" s="27" t="str">
        <f aca="false">IF(OR(S33="",T33="",T33=0),"",ROUND(S33/(T33/12),1))</f>
        <v/>
      </c>
      <c r="V33" s="29"/>
      <c r="W33" s="29"/>
      <c r="X33" s="25"/>
      <c r="Y33" s="25"/>
      <c r="Z33" s="30"/>
      <c r="AA33" s="30"/>
      <c r="AB33" s="27" t="str">
        <f aca="true">IF(Z33="","",IF(AA33="",TODAY(),AA33)-Z33)</f>
        <v/>
      </c>
      <c r="AC33" s="31" t="str">
        <f aca="false">IF(AB33="","",IF(AND(OR(X33="New",X33="Triaged"),AB33&gt;Settings!$B$9),"STALE",""))</f>
        <v/>
      </c>
      <c r="AD33" s="24"/>
    </row>
    <row r="34" customFormat="false" ht="15" hidden="false" customHeight="false" outlineLevel="0" collapsed="false">
      <c r="A34" s="23"/>
      <c r="B34" s="24"/>
      <c r="C34" s="25"/>
      <c r="D34" s="25"/>
      <c r="E34" s="25"/>
      <c r="F34" s="24"/>
      <c r="G34" s="25"/>
      <c r="H34" s="25"/>
      <c r="I34" s="25"/>
      <c r="J34" s="25"/>
      <c r="K34" s="26"/>
      <c r="L34" s="26"/>
      <c r="M34" s="26"/>
      <c r="N34" s="26"/>
      <c r="O34" s="27" t="str">
        <f aca="false">IF(OR(N34="",N34=0),"",ROUND((K34+L34+M34)/N34,1))</f>
        <v/>
      </c>
      <c r="P34" s="27" t="str">
        <f aca="false">IF(OR(O34="",X34="Done",X34="Rejected"),"",COUNTIFS($O$5:$O$204,"&gt;"&amp;O34,$X$5:$X$204,"&lt;&gt;Done",$X$5:$X$204,"&lt;&gt;Rejected")+1)</f>
        <v/>
      </c>
      <c r="Q34" s="26"/>
      <c r="R34" s="26"/>
      <c r="S34" s="28" t="str">
        <f aca="false">IF(R34="","",R34*Settings!$B$5)</f>
        <v/>
      </c>
      <c r="T34" s="28" t="str">
        <f aca="false">IF(Q34="","",Q34*12*Settings!$B$5/8)</f>
        <v/>
      </c>
      <c r="U34" s="27" t="str">
        <f aca="false">IF(OR(S34="",T34="",T34=0),"",ROUND(S34/(T34/12),1))</f>
        <v/>
      </c>
      <c r="V34" s="29"/>
      <c r="W34" s="29"/>
      <c r="X34" s="25"/>
      <c r="Y34" s="25"/>
      <c r="Z34" s="30"/>
      <c r="AA34" s="30"/>
      <c r="AB34" s="27" t="str">
        <f aca="true">IF(Z34="","",IF(AA34="",TODAY(),AA34)-Z34)</f>
        <v/>
      </c>
      <c r="AC34" s="31" t="str">
        <f aca="false">IF(AB34="","",IF(AND(OR(X34="New",X34="Triaged"),AB34&gt;Settings!$B$9),"STALE",""))</f>
        <v/>
      </c>
      <c r="AD34" s="24"/>
    </row>
    <row r="35" customFormat="false" ht="15" hidden="false" customHeight="false" outlineLevel="0" collapsed="false">
      <c r="A35" s="23"/>
      <c r="B35" s="24"/>
      <c r="C35" s="25"/>
      <c r="D35" s="25"/>
      <c r="E35" s="25"/>
      <c r="F35" s="24"/>
      <c r="G35" s="25"/>
      <c r="H35" s="25"/>
      <c r="I35" s="25"/>
      <c r="J35" s="25"/>
      <c r="K35" s="26"/>
      <c r="L35" s="26"/>
      <c r="M35" s="26"/>
      <c r="N35" s="26"/>
      <c r="O35" s="27" t="str">
        <f aca="false">IF(OR(N35="",N35=0),"",ROUND((K35+L35+M35)/N35,1))</f>
        <v/>
      </c>
      <c r="P35" s="27" t="str">
        <f aca="false">IF(OR(O35="",X35="Done",X35="Rejected"),"",COUNTIFS($O$5:$O$204,"&gt;"&amp;O35,$X$5:$X$204,"&lt;&gt;Done",$X$5:$X$204,"&lt;&gt;Rejected")+1)</f>
        <v/>
      </c>
      <c r="Q35" s="26"/>
      <c r="R35" s="26"/>
      <c r="S35" s="28" t="str">
        <f aca="false">IF(R35="","",R35*Settings!$B$5)</f>
        <v/>
      </c>
      <c r="T35" s="28" t="str">
        <f aca="false">IF(Q35="","",Q35*12*Settings!$B$5/8)</f>
        <v/>
      </c>
      <c r="U35" s="27" t="str">
        <f aca="false">IF(OR(S35="",T35="",T35=0),"",ROUND(S35/(T35/12),1))</f>
        <v/>
      </c>
      <c r="V35" s="29"/>
      <c r="W35" s="29"/>
      <c r="X35" s="25"/>
      <c r="Y35" s="25"/>
      <c r="Z35" s="30"/>
      <c r="AA35" s="30"/>
      <c r="AB35" s="27" t="str">
        <f aca="true">IF(Z35="","",IF(AA35="",TODAY(),AA35)-Z35)</f>
        <v/>
      </c>
      <c r="AC35" s="31" t="str">
        <f aca="false">IF(AB35="","",IF(AND(OR(X35="New",X35="Triaged"),AB35&gt;Settings!$B$9),"STALE",""))</f>
        <v/>
      </c>
      <c r="AD35" s="24"/>
    </row>
    <row r="36" customFormat="false" ht="15" hidden="false" customHeight="false" outlineLevel="0" collapsed="false">
      <c r="A36" s="23"/>
      <c r="B36" s="24"/>
      <c r="C36" s="25"/>
      <c r="D36" s="25"/>
      <c r="E36" s="25"/>
      <c r="F36" s="24"/>
      <c r="G36" s="25"/>
      <c r="H36" s="25"/>
      <c r="I36" s="25"/>
      <c r="J36" s="25"/>
      <c r="K36" s="26"/>
      <c r="L36" s="26"/>
      <c r="M36" s="26"/>
      <c r="N36" s="26"/>
      <c r="O36" s="27" t="str">
        <f aca="false">IF(OR(N36="",N36=0),"",ROUND((K36+L36+M36)/N36,1))</f>
        <v/>
      </c>
      <c r="P36" s="27" t="str">
        <f aca="false">IF(OR(O36="",X36="Done",X36="Rejected"),"",COUNTIFS($O$5:$O$204,"&gt;"&amp;O36,$X$5:$X$204,"&lt;&gt;Done",$X$5:$X$204,"&lt;&gt;Rejected")+1)</f>
        <v/>
      </c>
      <c r="Q36" s="26"/>
      <c r="R36" s="26"/>
      <c r="S36" s="28" t="str">
        <f aca="false">IF(R36="","",R36*Settings!$B$5)</f>
        <v/>
      </c>
      <c r="T36" s="28" t="str">
        <f aca="false">IF(Q36="","",Q36*12*Settings!$B$5/8)</f>
        <v/>
      </c>
      <c r="U36" s="27" t="str">
        <f aca="false">IF(OR(S36="",T36="",T36=0),"",ROUND(S36/(T36/12),1))</f>
        <v/>
      </c>
      <c r="V36" s="29"/>
      <c r="W36" s="29"/>
      <c r="X36" s="25"/>
      <c r="Y36" s="25"/>
      <c r="Z36" s="30"/>
      <c r="AA36" s="30"/>
      <c r="AB36" s="27" t="str">
        <f aca="true">IF(Z36="","",IF(AA36="",TODAY(),AA36)-Z36)</f>
        <v/>
      </c>
      <c r="AC36" s="31" t="str">
        <f aca="false">IF(AB36="","",IF(AND(OR(X36="New",X36="Triaged"),AB36&gt;Settings!$B$9),"STALE",""))</f>
        <v/>
      </c>
      <c r="AD36" s="24"/>
    </row>
    <row r="37" customFormat="false" ht="15" hidden="false" customHeight="false" outlineLevel="0" collapsed="false">
      <c r="A37" s="23"/>
      <c r="B37" s="24"/>
      <c r="C37" s="25"/>
      <c r="D37" s="25"/>
      <c r="E37" s="25"/>
      <c r="F37" s="24"/>
      <c r="G37" s="25"/>
      <c r="H37" s="25"/>
      <c r="I37" s="25"/>
      <c r="J37" s="25"/>
      <c r="K37" s="26"/>
      <c r="L37" s="26"/>
      <c r="M37" s="26"/>
      <c r="N37" s="26"/>
      <c r="O37" s="27" t="str">
        <f aca="false">IF(OR(N37="",N37=0),"",ROUND((K37+L37+M37)/N37,1))</f>
        <v/>
      </c>
      <c r="P37" s="27" t="str">
        <f aca="false">IF(OR(O37="",X37="Done",X37="Rejected"),"",COUNTIFS($O$5:$O$204,"&gt;"&amp;O37,$X$5:$X$204,"&lt;&gt;Done",$X$5:$X$204,"&lt;&gt;Rejected")+1)</f>
        <v/>
      </c>
      <c r="Q37" s="26"/>
      <c r="R37" s="26"/>
      <c r="S37" s="28" t="str">
        <f aca="false">IF(R37="","",R37*Settings!$B$5)</f>
        <v/>
      </c>
      <c r="T37" s="28" t="str">
        <f aca="false">IF(Q37="","",Q37*12*Settings!$B$5/8)</f>
        <v/>
      </c>
      <c r="U37" s="27" t="str">
        <f aca="false">IF(OR(S37="",T37="",T37=0),"",ROUND(S37/(T37/12),1))</f>
        <v/>
      </c>
      <c r="V37" s="29"/>
      <c r="W37" s="29"/>
      <c r="X37" s="25"/>
      <c r="Y37" s="25"/>
      <c r="Z37" s="30"/>
      <c r="AA37" s="30"/>
      <c r="AB37" s="27" t="str">
        <f aca="true">IF(Z37="","",IF(AA37="",TODAY(),AA37)-Z37)</f>
        <v/>
      </c>
      <c r="AC37" s="31" t="str">
        <f aca="false">IF(AB37="","",IF(AND(OR(X37="New",X37="Triaged"),AB37&gt;Settings!$B$9),"STALE",""))</f>
        <v/>
      </c>
      <c r="AD37" s="24"/>
    </row>
    <row r="38" customFormat="false" ht="15" hidden="false" customHeight="false" outlineLevel="0" collapsed="false">
      <c r="A38" s="23"/>
      <c r="B38" s="24"/>
      <c r="C38" s="25"/>
      <c r="D38" s="25"/>
      <c r="E38" s="25"/>
      <c r="F38" s="24"/>
      <c r="G38" s="25"/>
      <c r="H38" s="25"/>
      <c r="I38" s="25"/>
      <c r="J38" s="25"/>
      <c r="K38" s="26"/>
      <c r="L38" s="26"/>
      <c r="M38" s="26"/>
      <c r="N38" s="26"/>
      <c r="O38" s="27" t="str">
        <f aca="false">IF(OR(N38="",N38=0),"",ROUND((K38+L38+M38)/N38,1))</f>
        <v/>
      </c>
      <c r="P38" s="27" t="str">
        <f aca="false">IF(OR(O38="",X38="Done",X38="Rejected"),"",COUNTIFS($O$5:$O$204,"&gt;"&amp;O38,$X$5:$X$204,"&lt;&gt;Done",$X$5:$X$204,"&lt;&gt;Rejected")+1)</f>
        <v/>
      </c>
      <c r="Q38" s="26"/>
      <c r="R38" s="26"/>
      <c r="S38" s="28" t="str">
        <f aca="false">IF(R38="","",R38*Settings!$B$5)</f>
        <v/>
      </c>
      <c r="T38" s="28" t="str">
        <f aca="false">IF(Q38="","",Q38*12*Settings!$B$5/8)</f>
        <v/>
      </c>
      <c r="U38" s="27" t="str">
        <f aca="false">IF(OR(S38="",T38="",T38=0),"",ROUND(S38/(T38/12),1))</f>
        <v/>
      </c>
      <c r="V38" s="29"/>
      <c r="W38" s="29"/>
      <c r="X38" s="25"/>
      <c r="Y38" s="25"/>
      <c r="Z38" s="30"/>
      <c r="AA38" s="30"/>
      <c r="AB38" s="27" t="str">
        <f aca="true">IF(Z38="","",IF(AA38="",TODAY(),AA38)-Z38)</f>
        <v/>
      </c>
      <c r="AC38" s="31" t="str">
        <f aca="false">IF(AB38="","",IF(AND(OR(X38="New",X38="Triaged"),AB38&gt;Settings!$B$9),"STALE",""))</f>
        <v/>
      </c>
      <c r="AD38" s="24"/>
    </row>
    <row r="39" customFormat="false" ht="15" hidden="false" customHeight="false" outlineLevel="0" collapsed="false">
      <c r="A39" s="23"/>
      <c r="B39" s="24"/>
      <c r="C39" s="25"/>
      <c r="D39" s="25"/>
      <c r="E39" s="25"/>
      <c r="F39" s="24"/>
      <c r="G39" s="25"/>
      <c r="H39" s="25"/>
      <c r="I39" s="25"/>
      <c r="J39" s="25"/>
      <c r="K39" s="26"/>
      <c r="L39" s="26"/>
      <c r="M39" s="26"/>
      <c r="N39" s="26"/>
      <c r="O39" s="27" t="str">
        <f aca="false">IF(OR(N39="",N39=0),"",ROUND((K39+L39+M39)/N39,1))</f>
        <v/>
      </c>
      <c r="P39" s="27" t="str">
        <f aca="false">IF(OR(O39="",X39="Done",X39="Rejected"),"",COUNTIFS($O$5:$O$204,"&gt;"&amp;O39,$X$5:$X$204,"&lt;&gt;Done",$X$5:$X$204,"&lt;&gt;Rejected")+1)</f>
        <v/>
      </c>
      <c r="Q39" s="26"/>
      <c r="R39" s="26"/>
      <c r="S39" s="28" t="str">
        <f aca="false">IF(R39="","",R39*Settings!$B$5)</f>
        <v/>
      </c>
      <c r="T39" s="28" t="str">
        <f aca="false">IF(Q39="","",Q39*12*Settings!$B$5/8)</f>
        <v/>
      </c>
      <c r="U39" s="27" t="str">
        <f aca="false">IF(OR(S39="",T39="",T39=0),"",ROUND(S39/(T39/12),1))</f>
        <v/>
      </c>
      <c r="V39" s="29"/>
      <c r="W39" s="29"/>
      <c r="X39" s="25"/>
      <c r="Y39" s="25"/>
      <c r="Z39" s="30"/>
      <c r="AA39" s="30"/>
      <c r="AB39" s="27" t="str">
        <f aca="true">IF(Z39="","",IF(AA39="",TODAY(),AA39)-Z39)</f>
        <v/>
      </c>
      <c r="AC39" s="31" t="str">
        <f aca="false">IF(AB39="","",IF(AND(OR(X39="New",X39="Triaged"),AB39&gt;Settings!$B$9),"STALE",""))</f>
        <v/>
      </c>
      <c r="AD39" s="24"/>
    </row>
    <row r="40" customFormat="false" ht="15" hidden="false" customHeight="false" outlineLevel="0" collapsed="false">
      <c r="A40" s="23"/>
      <c r="B40" s="24"/>
      <c r="C40" s="25"/>
      <c r="D40" s="25"/>
      <c r="E40" s="25"/>
      <c r="F40" s="24"/>
      <c r="G40" s="25"/>
      <c r="H40" s="25"/>
      <c r="I40" s="25"/>
      <c r="J40" s="25"/>
      <c r="K40" s="26"/>
      <c r="L40" s="26"/>
      <c r="M40" s="26"/>
      <c r="N40" s="26"/>
      <c r="O40" s="27" t="str">
        <f aca="false">IF(OR(N40="",N40=0),"",ROUND((K40+L40+M40)/N40,1))</f>
        <v/>
      </c>
      <c r="P40" s="27" t="str">
        <f aca="false">IF(OR(O40="",X40="Done",X40="Rejected"),"",COUNTIFS($O$5:$O$204,"&gt;"&amp;O40,$X$5:$X$204,"&lt;&gt;Done",$X$5:$X$204,"&lt;&gt;Rejected")+1)</f>
        <v/>
      </c>
      <c r="Q40" s="26"/>
      <c r="R40" s="26"/>
      <c r="S40" s="28" t="str">
        <f aca="false">IF(R40="","",R40*Settings!$B$5)</f>
        <v/>
      </c>
      <c r="T40" s="28" t="str">
        <f aca="false">IF(Q40="","",Q40*12*Settings!$B$5/8)</f>
        <v/>
      </c>
      <c r="U40" s="27" t="str">
        <f aca="false">IF(OR(S40="",T40="",T40=0),"",ROUND(S40/(T40/12),1))</f>
        <v/>
      </c>
      <c r="V40" s="29"/>
      <c r="W40" s="29"/>
      <c r="X40" s="25"/>
      <c r="Y40" s="25"/>
      <c r="Z40" s="30"/>
      <c r="AA40" s="30"/>
      <c r="AB40" s="27" t="str">
        <f aca="true">IF(Z40="","",IF(AA40="",TODAY(),AA40)-Z40)</f>
        <v/>
      </c>
      <c r="AC40" s="31" t="str">
        <f aca="false">IF(AB40="","",IF(AND(OR(X40="New",X40="Triaged"),AB40&gt;Settings!$B$9),"STALE",""))</f>
        <v/>
      </c>
      <c r="AD40" s="24"/>
    </row>
    <row r="41" customFormat="false" ht="15" hidden="false" customHeight="false" outlineLevel="0" collapsed="false">
      <c r="A41" s="23"/>
      <c r="B41" s="24"/>
      <c r="C41" s="25"/>
      <c r="D41" s="25"/>
      <c r="E41" s="25"/>
      <c r="F41" s="24"/>
      <c r="G41" s="25"/>
      <c r="H41" s="25"/>
      <c r="I41" s="25"/>
      <c r="J41" s="25"/>
      <c r="K41" s="26"/>
      <c r="L41" s="26"/>
      <c r="M41" s="26"/>
      <c r="N41" s="26"/>
      <c r="O41" s="27" t="str">
        <f aca="false">IF(OR(N41="",N41=0),"",ROUND((K41+L41+M41)/N41,1))</f>
        <v/>
      </c>
      <c r="P41" s="27" t="str">
        <f aca="false">IF(OR(O41="",X41="Done",X41="Rejected"),"",COUNTIFS($O$5:$O$204,"&gt;"&amp;O41,$X$5:$X$204,"&lt;&gt;Done",$X$5:$X$204,"&lt;&gt;Rejected")+1)</f>
        <v/>
      </c>
      <c r="Q41" s="26"/>
      <c r="R41" s="26"/>
      <c r="S41" s="28" t="str">
        <f aca="false">IF(R41="","",R41*Settings!$B$5)</f>
        <v/>
      </c>
      <c r="T41" s="28" t="str">
        <f aca="false">IF(Q41="","",Q41*12*Settings!$B$5/8)</f>
        <v/>
      </c>
      <c r="U41" s="27" t="str">
        <f aca="false">IF(OR(S41="",T41="",T41=0),"",ROUND(S41/(T41/12),1))</f>
        <v/>
      </c>
      <c r="V41" s="29"/>
      <c r="W41" s="29"/>
      <c r="X41" s="25"/>
      <c r="Y41" s="25"/>
      <c r="Z41" s="30"/>
      <c r="AA41" s="30"/>
      <c r="AB41" s="27" t="str">
        <f aca="true">IF(Z41="","",IF(AA41="",TODAY(),AA41)-Z41)</f>
        <v/>
      </c>
      <c r="AC41" s="31" t="str">
        <f aca="false">IF(AB41="","",IF(AND(OR(X41="New",X41="Triaged"),AB41&gt;Settings!$B$9),"STALE",""))</f>
        <v/>
      </c>
      <c r="AD41" s="24"/>
    </row>
    <row r="42" customFormat="false" ht="15" hidden="false" customHeight="false" outlineLevel="0" collapsed="false">
      <c r="A42" s="23"/>
      <c r="B42" s="24"/>
      <c r="C42" s="25"/>
      <c r="D42" s="25"/>
      <c r="E42" s="25"/>
      <c r="F42" s="24"/>
      <c r="G42" s="25"/>
      <c r="H42" s="25"/>
      <c r="I42" s="25"/>
      <c r="J42" s="25"/>
      <c r="K42" s="26"/>
      <c r="L42" s="26"/>
      <c r="M42" s="26"/>
      <c r="N42" s="26"/>
      <c r="O42" s="27" t="str">
        <f aca="false">IF(OR(N42="",N42=0),"",ROUND((K42+L42+M42)/N42,1))</f>
        <v/>
      </c>
      <c r="P42" s="27" t="str">
        <f aca="false">IF(OR(O42="",X42="Done",X42="Rejected"),"",COUNTIFS($O$5:$O$204,"&gt;"&amp;O42,$X$5:$X$204,"&lt;&gt;Done",$X$5:$X$204,"&lt;&gt;Rejected")+1)</f>
        <v/>
      </c>
      <c r="Q42" s="26"/>
      <c r="R42" s="26"/>
      <c r="S42" s="28" t="str">
        <f aca="false">IF(R42="","",R42*Settings!$B$5)</f>
        <v/>
      </c>
      <c r="T42" s="28" t="str">
        <f aca="false">IF(Q42="","",Q42*12*Settings!$B$5/8)</f>
        <v/>
      </c>
      <c r="U42" s="27" t="str">
        <f aca="false">IF(OR(S42="",T42="",T42=0),"",ROUND(S42/(T42/12),1))</f>
        <v/>
      </c>
      <c r="V42" s="29"/>
      <c r="W42" s="29"/>
      <c r="X42" s="25"/>
      <c r="Y42" s="25"/>
      <c r="Z42" s="30"/>
      <c r="AA42" s="30"/>
      <c r="AB42" s="27" t="str">
        <f aca="true">IF(Z42="","",IF(AA42="",TODAY(),AA42)-Z42)</f>
        <v/>
      </c>
      <c r="AC42" s="31" t="str">
        <f aca="false">IF(AB42="","",IF(AND(OR(X42="New",X42="Triaged"),AB42&gt;Settings!$B$9),"STALE",""))</f>
        <v/>
      </c>
      <c r="AD42" s="24"/>
    </row>
    <row r="43" customFormat="false" ht="15" hidden="false" customHeight="false" outlineLevel="0" collapsed="false">
      <c r="A43" s="23"/>
      <c r="B43" s="24"/>
      <c r="C43" s="25"/>
      <c r="D43" s="25"/>
      <c r="E43" s="25"/>
      <c r="F43" s="24"/>
      <c r="G43" s="25"/>
      <c r="H43" s="25"/>
      <c r="I43" s="25"/>
      <c r="J43" s="25"/>
      <c r="K43" s="26"/>
      <c r="L43" s="26"/>
      <c r="M43" s="26"/>
      <c r="N43" s="26"/>
      <c r="O43" s="27" t="str">
        <f aca="false">IF(OR(N43="",N43=0),"",ROUND((K43+L43+M43)/N43,1))</f>
        <v/>
      </c>
      <c r="P43" s="27" t="str">
        <f aca="false">IF(OR(O43="",X43="Done",X43="Rejected"),"",COUNTIFS($O$5:$O$204,"&gt;"&amp;O43,$X$5:$X$204,"&lt;&gt;Done",$X$5:$X$204,"&lt;&gt;Rejected")+1)</f>
        <v/>
      </c>
      <c r="Q43" s="26"/>
      <c r="R43" s="26"/>
      <c r="S43" s="28" t="str">
        <f aca="false">IF(R43="","",R43*Settings!$B$5)</f>
        <v/>
      </c>
      <c r="T43" s="28" t="str">
        <f aca="false">IF(Q43="","",Q43*12*Settings!$B$5/8)</f>
        <v/>
      </c>
      <c r="U43" s="27" t="str">
        <f aca="false">IF(OR(S43="",T43="",T43=0),"",ROUND(S43/(T43/12),1))</f>
        <v/>
      </c>
      <c r="V43" s="29"/>
      <c r="W43" s="29"/>
      <c r="X43" s="25"/>
      <c r="Y43" s="25"/>
      <c r="Z43" s="30"/>
      <c r="AA43" s="30"/>
      <c r="AB43" s="27" t="str">
        <f aca="true">IF(Z43="","",IF(AA43="",TODAY(),AA43)-Z43)</f>
        <v/>
      </c>
      <c r="AC43" s="31" t="str">
        <f aca="false">IF(AB43="","",IF(AND(OR(X43="New",X43="Triaged"),AB43&gt;Settings!$B$9),"STALE",""))</f>
        <v/>
      </c>
      <c r="AD43" s="24"/>
    </row>
    <row r="44" customFormat="false" ht="15" hidden="false" customHeight="false" outlineLevel="0" collapsed="false">
      <c r="A44" s="23"/>
      <c r="B44" s="24"/>
      <c r="C44" s="25"/>
      <c r="D44" s="25"/>
      <c r="E44" s="25"/>
      <c r="F44" s="24"/>
      <c r="G44" s="25"/>
      <c r="H44" s="25"/>
      <c r="I44" s="25"/>
      <c r="J44" s="25"/>
      <c r="K44" s="26"/>
      <c r="L44" s="26"/>
      <c r="M44" s="26"/>
      <c r="N44" s="26"/>
      <c r="O44" s="27" t="str">
        <f aca="false">IF(OR(N44="",N44=0),"",ROUND((K44+L44+M44)/N44,1))</f>
        <v/>
      </c>
      <c r="P44" s="27" t="str">
        <f aca="false">IF(OR(O44="",X44="Done",X44="Rejected"),"",COUNTIFS($O$5:$O$204,"&gt;"&amp;O44,$X$5:$X$204,"&lt;&gt;Done",$X$5:$X$204,"&lt;&gt;Rejected")+1)</f>
        <v/>
      </c>
      <c r="Q44" s="26"/>
      <c r="R44" s="26"/>
      <c r="S44" s="28" t="str">
        <f aca="false">IF(R44="","",R44*Settings!$B$5)</f>
        <v/>
      </c>
      <c r="T44" s="28" t="str">
        <f aca="false">IF(Q44="","",Q44*12*Settings!$B$5/8)</f>
        <v/>
      </c>
      <c r="U44" s="27" t="str">
        <f aca="false">IF(OR(S44="",T44="",T44=0),"",ROUND(S44/(T44/12),1))</f>
        <v/>
      </c>
      <c r="V44" s="29"/>
      <c r="W44" s="29"/>
      <c r="X44" s="25"/>
      <c r="Y44" s="25"/>
      <c r="Z44" s="30"/>
      <c r="AA44" s="30"/>
      <c r="AB44" s="27" t="str">
        <f aca="true">IF(Z44="","",IF(AA44="",TODAY(),AA44)-Z44)</f>
        <v/>
      </c>
      <c r="AC44" s="31" t="str">
        <f aca="false">IF(AB44="","",IF(AND(OR(X44="New",X44="Triaged"),AB44&gt;Settings!$B$9),"STALE",""))</f>
        <v/>
      </c>
      <c r="AD44" s="24"/>
    </row>
    <row r="45" customFormat="false" ht="15" hidden="false" customHeight="false" outlineLevel="0" collapsed="false">
      <c r="A45" s="23"/>
      <c r="B45" s="24"/>
      <c r="C45" s="25"/>
      <c r="D45" s="25"/>
      <c r="E45" s="25"/>
      <c r="F45" s="24"/>
      <c r="G45" s="25"/>
      <c r="H45" s="25"/>
      <c r="I45" s="25"/>
      <c r="J45" s="25"/>
      <c r="K45" s="26"/>
      <c r="L45" s="26"/>
      <c r="M45" s="26"/>
      <c r="N45" s="26"/>
      <c r="O45" s="27" t="str">
        <f aca="false">IF(OR(N45="",N45=0),"",ROUND((K45+L45+M45)/N45,1))</f>
        <v/>
      </c>
      <c r="P45" s="27" t="str">
        <f aca="false">IF(OR(O45="",X45="Done",X45="Rejected"),"",COUNTIFS($O$5:$O$204,"&gt;"&amp;O45,$X$5:$X$204,"&lt;&gt;Done",$X$5:$X$204,"&lt;&gt;Rejected")+1)</f>
        <v/>
      </c>
      <c r="Q45" s="26"/>
      <c r="R45" s="26"/>
      <c r="S45" s="28" t="str">
        <f aca="false">IF(R45="","",R45*Settings!$B$5)</f>
        <v/>
      </c>
      <c r="T45" s="28" t="str">
        <f aca="false">IF(Q45="","",Q45*12*Settings!$B$5/8)</f>
        <v/>
      </c>
      <c r="U45" s="27" t="str">
        <f aca="false">IF(OR(S45="",T45="",T45=0),"",ROUND(S45/(T45/12),1))</f>
        <v/>
      </c>
      <c r="V45" s="29"/>
      <c r="W45" s="29"/>
      <c r="X45" s="25"/>
      <c r="Y45" s="25"/>
      <c r="Z45" s="30"/>
      <c r="AA45" s="30"/>
      <c r="AB45" s="27" t="str">
        <f aca="true">IF(Z45="","",IF(AA45="",TODAY(),AA45)-Z45)</f>
        <v/>
      </c>
      <c r="AC45" s="31" t="str">
        <f aca="false">IF(AB45="","",IF(AND(OR(X45="New",X45="Triaged"),AB45&gt;Settings!$B$9),"STALE",""))</f>
        <v/>
      </c>
      <c r="AD45" s="24"/>
    </row>
    <row r="46" customFormat="false" ht="15" hidden="false" customHeight="false" outlineLevel="0" collapsed="false">
      <c r="A46" s="23"/>
      <c r="B46" s="24"/>
      <c r="C46" s="25"/>
      <c r="D46" s="25"/>
      <c r="E46" s="25"/>
      <c r="F46" s="24"/>
      <c r="G46" s="25"/>
      <c r="H46" s="25"/>
      <c r="I46" s="25"/>
      <c r="J46" s="25"/>
      <c r="K46" s="26"/>
      <c r="L46" s="26"/>
      <c r="M46" s="26"/>
      <c r="N46" s="26"/>
      <c r="O46" s="27" t="str">
        <f aca="false">IF(OR(N46="",N46=0),"",ROUND((K46+L46+M46)/N46,1))</f>
        <v/>
      </c>
      <c r="P46" s="27" t="str">
        <f aca="false">IF(OR(O46="",X46="Done",X46="Rejected"),"",COUNTIFS($O$5:$O$204,"&gt;"&amp;O46,$X$5:$X$204,"&lt;&gt;Done",$X$5:$X$204,"&lt;&gt;Rejected")+1)</f>
        <v/>
      </c>
      <c r="Q46" s="26"/>
      <c r="R46" s="26"/>
      <c r="S46" s="28" t="str">
        <f aca="false">IF(R46="","",R46*Settings!$B$5)</f>
        <v/>
      </c>
      <c r="T46" s="28" t="str">
        <f aca="false">IF(Q46="","",Q46*12*Settings!$B$5/8)</f>
        <v/>
      </c>
      <c r="U46" s="27" t="str">
        <f aca="false">IF(OR(S46="",T46="",T46=0),"",ROUND(S46/(T46/12),1))</f>
        <v/>
      </c>
      <c r="V46" s="29"/>
      <c r="W46" s="29"/>
      <c r="X46" s="25"/>
      <c r="Y46" s="25"/>
      <c r="Z46" s="30"/>
      <c r="AA46" s="30"/>
      <c r="AB46" s="27" t="str">
        <f aca="true">IF(Z46="","",IF(AA46="",TODAY(),AA46)-Z46)</f>
        <v/>
      </c>
      <c r="AC46" s="31" t="str">
        <f aca="false">IF(AB46="","",IF(AND(OR(X46="New",X46="Triaged"),AB46&gt;Settings!$B$9),"STALE",""))</f>
        <v/>
      </c>
      <c r="AD46" s="24"/>
    </row>
    <row r="47" customFormat="false" ht="15" hidden="false" customHeight="false" outlineLevel="0" collapsed="false">
      <c r="A47" s="23"/>
      <c r="B47" s="24"/>
      <c r="C47" s="25"/>
      <c r="D47" s="25"/>
      <c r="E47" s="25"/>
      <c r="F47" s="24"/>
      <c r="G47" s="25"/>
      <c r="H47" s="25"/>
      <c r="I47" s="25"/>
      <c r="J47" s="25"/>
      <c r="K47" s="26"/>
      <c r="L47" s="26"/>
      <c r="M47" s="26"/>
      <c r="N47" s="26"/>
      <c r="O47" s="27" t="str">
        <f aca="false">IF(OR(N47="",N47=0),"",ROUND((K47+L47+M47)/N47,1))</f>
        <v/>
      </c>
      <c r="P47" s="27" t="str">
        <f aca="false">IF(OR(O47="",X47="Done",X47="Rejected"),"",COUNTIFS($O$5:$O$204,"&gt;"&amp;O47,$X$5:$X$204,"&lt;&gt;Done",$X$5:$X$204,"&lt;&gt;Rejected")+1)</f>
        <v/>
      </c>
      <c r="Q47" s="26"/>
      <c r="R47" s="26"/>
      <c r="S47" s="28" t="str">
        <f aca="false">IF(R47="","",R47*Settings!$B$5)</f>
        <v/>
      </c>
      <c r="T47" s="28" t="str">
        <f aca="false">IF(Q47="","",Q47*12*Settings!$B$5/8)</f>
        <v/>
      </c>
      <c r="U47" s="27" t="str">
        <f aca="false">IF(OR(S47="",T47="",T47=0),"",ROUND(S47/(T47/12),1))</f>
        <v/>
      </c>
      <c r="V47" s="29"/>
      <c r="W47" s="29"/>
      <c r="X47" s="25"/>
      <c r="Y47" s="25"/>
      <c r="Z47" s="30"/>
      <c r="AA47" s="30"/>
      <c r="AB47" s="27" t="str">
        <f aca="true">IF(Z47="","",IF(AA47="",TODAY(),AA47)-Z47)</f>
        <v/>
      </c>
      <c r="AC47" s="31" t="str">
        <f aca="false">IF(AB47="","",IF(AND(OR(X47="New",X47="Triaged"),AB47&gt;Settings!$B$9),"STALE",""))</f>
        <v/>
      </c>
      <c r="AD47" s="24"/>
    </row>
    <row r="48" customFormat="false" ht="15" hidden="false" customHeight="false" outlineLevel="0" collapsed="false">
      <c r="A48" s="23"/>
      <c r="B48" s="24"/>
      <c r="C48" s="25"/>
      <c r="D48" s="25"/>
      <c r="E48" s="25"/>
      <c r="F48" s="24"/>
      <c r="G48" s="25"/>
      <c r="H48" s="25"/>
      <c r="I48" s="25"/>
      <c r="J48" s="25"/>
      <c r="K48" s="26"/>
      <c r="L48" s="26"/>
      <c r="M48" s="26"/>
      <c r="N48" s="26"/>
      <c r="O48" s="27" t="str">
        <f aca="false">IF(OR(N48="",N48=0),"",ROUND((K48+L48+M48)/N48,1))</f>
        <v/>
      </c>
      <c r="P48" s="27" t="str">
        <f aca="false">IF(OR(O48="",X48="Done",X48="Rejected"),"",COUNTIFS($O$5:$O$204,"&gt;"&amp;O48,$X$5:$X$204,"&lt;&gt;Done",$X$5:$X$204,"&lt;&gt;Rejected")+1)</f>
        <v/>
      </c>
      <c r="Q48" s="26"/>
      <c r="R48" s="26"/>
      <c r="S48" s="28" t="str">
        <f aca="false">IF(R48="","",R48*Settings!$B$5)</f>
        <v/>
      </c>
      <c r="T48" s="28" t="str">
        <f aca="false">IF(Q48="","",Q48*12*Settings!$B$5/8)</f>
        <v/>
      </c>
      <c r="U48" s="27" t="str">
        <f aca="false">IF(OR(S48="",T48="",T48=0),"",ROUND(S48/(T48/12),1))</f>
        <v/>
      </c>
      <c r="V48" s="29"/>
      <c r="W48" s="29"/>
      <c r="X48" s="25"/>
      <c r="Y48" s="25"/>
      <c r="Z48" s="30"/>
      <c r="AA48" s="30"/>
      <c r="AB48" s="27" t="str">
        <f aca="true">IF(Z48="","",IF(AA48="",TODAY(),AA48)-Z48)</f>
        <v/>
      </c>
      <c r="AC48" s="31" t="str">
        <f aca="false">IF(AB48="","",IF(AND(OR(X48="New",X48="Triaged"),AB48&gt;Settings!$B$9),"STALE",""))</f>
        <v/>
      </c>
      <c r="AD48" s="24"/>
    </row>
    <row r="49" customFormat="false" ht="15" hidden="false" customHeight="false" outlineLevel="0" collapsed="false">
      <c r="A49" s="23"/>
      <c r="B49" s="24"/>
      <c r="C49" s="25"/>
      <c r="D49" s="25"/>
      <c r="E49" s="25"/>
      <c r="F49" s="24"/>
      <c r="G49" s="25"/>
      <c r="H49" s="25"/>
      <c r="I49" s="25"/>
      <c r="J49" s="25"/>
      <c r="K49" s="26"/>
      <c r="L49" s="26"/>
      <c r="M49" s="26"/>
      <c r="N49" s="26"/>
      <c r="O49" s="27" t="str">
        <f aca="false">IF(OR(N49="",N49=0),"",ROUND((K49+L49+M49)/N49,1))</f>
        <v/>
      </c>
      <c r="P49" s="27" t="str">
        <f aca="false">IF(OR(O49="",X49="Done",X49="Rejected"),"",COUNTIFS($O$5:$O$204,"&gt;"&amp;O49,$X$5:$X$204,"&lt;&gt;Done",$X$5:$X$204,"&lt;&gt;Rejected")+1)</f>
        <v/>
      </c>
      <c r="Q49" s="26"/>
      <c r="R49" s="26"/>
      <c r="S49" s="28" t="str">
        <f aca="false">IF(R49="","",R49*Settings!$B$5)</f>
        <v/>
      </c>
      <c r="T49" s="28" t="str">
        <f aca="false">IF(Q49="","",Q49*12*Settings!$B$5/8)</f>
        <v/>
      </c>
      <c r="U49" s="27" t="str">
        <f aca="false">IF(OR(S49="",T49="",T49=0),"",ROUND(S49/(T49/12),1))</f>
        <v/>
      </c>
      <c r="V49" s="29"/>
      <c r="W49" s="29"/>
      <c r="X49" s="25"/>
      <c r="Y49" s="25"/>
      <c r="Z49" s="30"/>
      <c r="AA49" s="30"/>
      <c r="AB49" s="27" t="str">
        <f aca="true">IF(Z49="","",IF(AA49="",TODAY(),AA49)-Z49)</f>
        <v/>
      </c>
      <c r="AC49" s="31" t="str">
        <f aca="false">IF(AB49="","",IF(AND(OR(X49="New",X49="Triaged"),AB49&gt;Settings!$B$9),"STALE",""))</f>
        <v/>
      </c>
      <c r="AD49" s="24"/>
    </row>
    <row r="50" customFormat="false" ht="15" hidden="false" customHeight="false" outlineLevel="0" collapsed="false">
      <c r="A50" s="23"/>
      <c r="B50" s="24"/>
      <c r="C50" s="25"/>
      <c r="D50" s="25"/>
      <c r="E50" s="25"/>
      <c r="F50" s="24"/>
      <c r="G50" s="25"/>
      <c r="H50" s="25"/>
      <c r="I50" s="25"/>
      <c r="J50" s="25"/>
      <c r="K50" s="26"/>
      <c r="L50" s="26"/>
      <c r="M50" s="26"/>
      <c r="N50" s="26"/>
      <c r="O50" s="27" t="str">
        <f aca="false">IF(OR(N50="",N50=0),"",ROUND((K50+L50+M50)/N50,1))</f>
        <v/>
      </c>
      <c r="P50" s="27" t="str">
        <f aca="false">IF(OR(O50="",X50="Done",X50="Rejected"),"",COUNTIFS($O$5:$O$204,"&gt;"&amp;O50,$X$5:$X$204,"&lt;&gt;Done",$X$5:$X$204,"&lt;&gt;Rejected")+1)</f>
        <v/>
      </c>
      <c r="Q50" s="26"/>
      <c r="R50" s="26"/>
      <c r="S50" s="28" t="str">
        <f aca="false">IF(R50="","",R50*Settings!$B$5)</f>
        <v/>
      </c>
      <c r="T50" s="28" t="str">
        <f aca="false">IF(Q50="","",Q50*12*Settings!$B$5/8)</f>
        <v/>
      </c>
      <c r="U50" s="27" t="str">
        <f aca="false">IF(OR(S50="",T50="",T50=0),"",ROUND(S50/(T50/12),1))</f>
        <v/>
      </c>
      <c r="V50" s="29"/>
      <c r="W50" s="29"/>
      <c r="X50" s="25"/>
      <c r="Y50" s="25"/>
      <c r="Z50" s="30"/>
      <c r="AA50" s="30"/>
      <c r="AB50" s="27" t="str">
        <f aca="true">IF(Z50="","",IF(AA50="",TODAY(),AA50)-Z50)</f>
        <v/>
      </c>
      <c r="AC50" s="31" t="str">
        <f aca="false">IF(AB50="","",IF(AND(OR(X50="New",X50="Triaged"),AB50&gt;Settings!$B$9),"STALE",""))</f>
        <v/>
      </c>
      <c r="AD50" s="24"/>
    </row>
    <row r="51" customFormat="false" ht="15" hidden="false" customHeight="false" outlineLevel="0" collapsed="false">
      <c r="A51" s="23"/>
      <c r="B51" s="24"/>
      <c r="C51" s="25"/>
      <c r="D51" s="25"/>
      <c r="E51" s="25"/>
      <c r="F51" s="24"/>
      <c r="G51" s="25"/>
      <c r="H51" s="25"/>
      <c r="I51" s="25"/>
      <c r="J51" s="25"/>
      <c r="K51" s="26"/>
      <c r="L51" s="26"/>
      <c r="M51" s="26"/>
      <c r="N51" s="26"/>
      <c r="O51" s="27" t="str">
        <f aca="false">IF(OR(N51="",N51=0),"",ROUND((K51+L51+M51)/N51,1))</f>
        <v/>
      </c>
      <c r="P51" s="27" t="str">
        <f aca="false">IF(OR(O51="",X51="Done",X51="Rejected"),"",COUNTIFS($O$5:$O$204,"&gt;"&amp;O51,$X$5:$X$204,"&lt;&gt;Done",$X$5:$X$204,"&lt;&gt;Rejected")+1)</f>
        <v/>
      </c>
      <c r="Q51" s="26"/>
      <c r="R51" s="26"/>
      <c r="S51" s="28" t="str">
        <f aca="false">IF(R51="","",R51*Settings!$B$5)</f>
        <v/>
      </c>
      <c r="T51" s="28" t="str">
        <f aca="false">IF(Q51="","",Q51*12*Settings!$B$5/8)</f>
        <v/>
      </c>
      <c r="U51" s="27" t="str">
        <f aca="false">IF(OR(S51="",T51="",T51=0),"",ROUND(S51/(T51/12),1))</f>
        <v/>
      </c>
      <c r="V51" s="29"/>
      <c r="W51" s="29"/>
      <c r="X51" s="25"/>
      <c r="Y51" s="25"/>
      <c r="Z51" s="30"/>
      <c r="AA51" s="30"/>
      <c r="AB51" s="27" t="str">
        <f aca="true">IF(Z51="","",IF(AA51="",TODAY(),AA51)-Z51)</f>
        <v/>
      </c>
      <c r="AC51" s="31" t="str">
        <f aca="false">IF(AB51="","",IF(AND(OR(X51="New",X51="Triaged"),AB51&gt;Settings!$B$9),"STALE",""))</f>
        <v/>
      </c>
      <c r="AD51" s="24"/>
    </row>
    <row r="52" customFormat="false" ht="15" hidden="false" customHeight="false" outlineLevel="0" collapsed="false">
      <c r="A52" s="23"/>
      <c r="B52" s="24"/>
      <c r="C52" s="25"/>
      <c r="D52" s="25"/>
      <c r="E52" s="25"/>
      <c r="F52" s="24"/>
      <c r="G52" s="25"/>
      <c r="H52" s="25"/>
      <c r="I52" s="25"/>
      <c r="J52" s="25"/>
      <c r="K52" s="26"/>
      <c r="L52" s="26"/>
      <c r="M52" s="26"/>
      <c r="N52" s="26"/>
      <c r="O52" s="27" t="str">
        <f aca="false">IF(OR(N52="",N52=0),"",ROUND((K52+L52+M52)/N52,1))</f>
        <v/>
      </c>
      <c r="P52" s="27" t="str">
        <f aca="false">IF(OR(O52="",X52="Done",X52="Rejected"),"",COUNTIFS($O$5:$O$204,"&gt;"&amp;O52,$X$5:$X$204,"&lt;&gt;Done",$X$5:$X$204,"&lt;&gt;Rejected")+1)</f>
        <v/>
      </c>
      <c r="Q52" s="26"/>
      <c r="R52" s="26"/>
      <c r="S52" s="28" t="str">
        <f aca="false">IF(R52="","",R52*Settings!$B$5)</f>
        <v/>
      </c>
      <c r="T52" s="28" t="str">
        <f aca="false">IF(Q52="","",Q52*12*Settings!$B$5/8)</f>
        <v/>
      </c>
      <c r="U52" s="27" t="str">
        <f aca="false">IF(OR(S52="",T52="",T52=0),"",ROUND(S52/(T52/12),1))</f>
        <v/>
      </c>
      <c r="V52" s="29"/>
      <c r="W52" s="29"/>
      <c r="X52" s="25"/>
      <c r="Y52" s="25"/>
      <c r="Z52" s="30"/>
      <c r="AA52" s="30"/>
      <c r="AB52" s="27" t="str">
        <f aca="true">IF(Z52="","",IF(AA52="",TODAY(),AA52)-Z52)</f>
        <v/>
      </c>
      <c r="AC52" s="31" t="str">
        <f aca="false">IF(AB52="","",IF(AND(OR(X52="New",X52="Triaged"),AB52&gt;Settings!$B$9),"STALE",""))</f>
        <v/>
      </c>
      <c r="AD52" s="24"/>
    </row>
    <row r="53" customFormat="false" ht="15" hidden="false" customHeight="false" outlineLevel="0" collapsed="false">
      <c r="A53" s="23"/>
      <c r="B53" s="24"/>
      <c r="C53" s="25"/>
      <c r="D53" s="25"/>
      <c r="E53" s="25"/>
      <c r="F53" s="24"/>
      <c r="G53" s="25"/>
      <c r="H53" s="25"/>
      <c r="I53" s="25"/>
      <c r="J53" s="25"/>
      <c r="K53" s="26"/>
      <c r="L53" s="26"/>
      <c r="M53" s="26"/>
      <c r="N53" s="26"/>
      <c r="O53" s="27" t="str">
        <f aca="false">IF(OR(N53="",N53=0),"",ROUND((K53+L53+M53)/N53,1))</f>
        <v/>
      </c>
      <c r="P53" s="27" t="str">
        <f aca="false">IF(OR(O53="",X53="Done",X53="Rejected"),"",COUNTIFS($O$5:$O$204,"&gt;"&amp;O53,$X$5:$X$204,"&lt;&gt;Done",$X$5:$X$204,"&lt;&gt;Rejected")+1)</f>
        <v/>
      </c>
      <c r="Q53" s="26"/>
      <c r="R53" s="26"/>
      <c r="S53" s="28" t="str">
        <f aca="false">IF(R53="","",R53*Settings!$B$5)</f>
        <v/>
      </c>
      <c r="T53" s="28" t="str">
        <f aca="false">IF(Q53="","",Q53*12*Settings!$B$5/8)</f>
        <v/>
      </c>
      <c r="U53" s="27" t="str">
        <f aca="false">IF(OR(S53="",T53="",T53=0),"",ROUND(S53/(T53/12),1))</f>
        <v/>
      </c>
      <c r="V53" s="29"/>
      <c r="W53" s="29"/>
      <c r="X53" s="25"/>
      <c r="Y53" s="25"/>
      <c r="Z53" s="30"/>
      <c r="AA53" s="30"/>
      <c r="AB53" s="27" t="str">
        <f aca="true">IF(Z53="","",IF(AA53="",TODAY(),AA53)-Z53)</f>
        <v/>
      </c>
      <c r="AC53" s="31" t="str">
        <f aca="false">IF(AB53="","",IF(AND(OR(X53="New",X53="Triaged"),AB53&gt;Settings!$B$9),"STALE",""))</f>
        <v/>
      </c>
      <c r="AD53" s="24"/>
    </row>
    <row r="54" customFormat="false" ht="15" hidden="false" customHeight="false" outlineLevel="0" collapsed="false">
      <c r="A54" s="23"/>
      <c r="B54" s="24"/>
      <c r="C54" s="25"/>
      <c r="D54" s="25"/>
      <c r="E54" s="25"/>
      <c r="F54" s="24"/>
      <c r="G54" s="25"/>
      <c r="H54" s="25"/>
      <c r="I54" s="25"/>
      <c r="J54" s="25"/>
      <c r="K54" s="26"/>
      <c r="L54" s="26"/>
      <c r="M54" s="26"/>
      <c r="N54" s="26"/>
      <c r="O54" s="27" t="str">
        <f aca="false">IF(OR(N54="",N54=0),"",ROUND((K54+L54+M54)/N54,1))</f>
        <v/>
      </c>
      <c r="P54" s="27" t="str">
        <f aca="false">IF(OR(O54="",X54="Done",X54="Rejected"),"",COUNTIFS($O$5:$O$204,"&gt;"&amp;O54,$X$5:$X$204,"&lt;&gt;Done",$X$5:$X$204,"&lt;&gt;Rejected")+1)</f>
        <v/>
      </c>
      <c r="Q54" s="26"/>
      <c r="R54" s="26"/>
      <c r="S54" s="28" t="str">
        <f aca="false">IF(R54="","",R54*Settings!$B$5)</f>
        <v/>
      </c>
      <c r="T54" s="28" t="str">
        <f aca="false">IF(Q54="","",Q54*12*Settings!$B$5/8)</f>
        <v/>
      </c>
      <c r="U54" s="27" t="str">
        <f aca="false">IF(OR(S54="",T54="",T54=0),"",ROUND(S54/(T54/12),1))</f>
        <v/>
      </c>
      <c r="V54" s="29"/>
      <c r="W54" s="29"/>
      <c r="X54" s="25"/>
      <c r="Y54" s="25"/>
      <c r="Z54" s="30"/>
      <c r="AA54" s="30"/>
      <c r="AB54" s="27" t="str">
        <f aca="true">IF(Z54="","",IF(AA54="",TODAY(),AA54)-Z54)</f>
        <v/>
      </c>
      <c r="AC54" s="31" t="str">
        <f aca="false">IF(AB54="","",IF(AND(OR(X54="New",X54="Triaged"),AB54&gt;Settings!$B$9),"STALE",""))</f>
        <v/>
      </c>
      <c r="AD54" s="24"/>
    </row>
    <row r="55" customFormat="false" ht="15" hidden="false" customHeight="false" outlineLevel="0" collapsed="false">
      <c r="A55" s="23"/>
      <c r="B55" s="24"/>
      <c r="C55" s="25"/>
      <c r="D55" s="25"/>
      <c r="E55" s="25"/>
      <c r="F55" s="24"/>
      <c r="G55" s="25"/>
      <c r="H55" s="25"/>
      <c r="I55" s="25"/>
      <c r="J55" s="25"/>
      <c r="K55" s="26"/>
      <c r="L55" s="26"/>
      <c r="M55" s="26"/>
      <c r="N55" s="26"/>
      <c r="O55" s="27" t="str">
        <f aca="false">IF(OR(N55="",N55=0),"",ROUND((K55+L55+M55)/N55,1))</f>
        <v/>
      </c>
      <c r="P55" s="27" t="str">
        <f aca="false">IF(OR(O55="",X55="Done",X55="Rejected"),"",COUNTIFS($O$5:$O$204,"&gt;"&amp;O55,$X$5:$X$204,"&lt;&gt;Done",$X$5:$X$204,"&lt;&gt;Rejected")+1)</f>
        <v/>
      </c>
      <c r="Q55" s="26"/>
      <c r="R55" s="26"/>
      <c r="S55" s="28" t="str">
        <f aca="false">IF(R55="","",R55*Settings!$B$5)</f>
        <v/>
      </c>
      <c r="T55" s="28" t="str">
        <f aca="false">IF(Q55="","",Q55*12*Settings!$B$5/8)</f>
        <v/>
      </c>
      <c r="U55" s="27" t="str">
        <f aca="false">IF(OR(S55="",T55="",T55=0),"",ROUND(S55/(T55/12),1))</f>
        <v/>
      </c>
      <c r="V55" s="29"/>
      <c r="W55" s="29"/>
      <c r="X55" s="25"/>
      <c r="Y55" s="25"/>
      <c r="Z55" s="30"/>
      <c r="AA55" s="30"/>
      <c r="AB55" s="27" t="str">
        <f aca="true">IF(Z55="","",IF(AA55="",TODAY(),AA55)-Z55)</f>
        <v/>
      </c>
      <c r="AC55" s="31" t="str">
        <f aca="false">IF(AB55="","",IF(AND(OR(X55="New",X55="Triaged"),AB55&gt;Settings!$B$9),"STALE",""))</f>
        <v/>
      </c>
      <c r="AD55" s="24"/>
    </row>
    <row r="56" customFormat="false" ht="15" hidden="false" customHeight="false" outlineLevel="0" collapsed="false">
      <c r="A56" s="23"/>
      <c r="B56" s="24"/>
      <c r="C56" s="25"/>
      <c r="D56" s="25"/>
      <c r="E56" s="25"/>
      <c r="F56" s="24"/>
      <c r="G56" s="25"/>
      <c r="H56" s="25"/>
      <c r="I56" s="25"/>
      <c r="J56" s="25"/>
      <c r="K56" s="26"/>
      <c r="L56" s="26"/>
      <c r="M56" s="26"/>
      <c r="N56" s="26"/>
      <c r="O56" s="27" t="str">
        <f aca="false">IF(OR(N56="",N56=0),"",ROUND((K56+L56+M56)/N56,1))</f>
        <v/>
      </c>
      <c r="P56" s="27" t="str">
        <f aca="false">IF(OR(O56="",X56="Done",X56="Rejected"),"",COUNTIFS($O$5:$O$204,"&gt;"&amp;O56,$X$5:$X$204,"&lt;&gt;Done",$X$5:$X$204,"&lt;&gt;Rejected")+1)</f>
        <v/>
      </c>
      <c r="Q56" s="26"/>
      <c r="R56" s="26"/>
      <c r="S56" s="28" t="str">
        <f aca="false">IF(R56="","",R56*Settings!$B$5)</f>
        <v/>
      </c>
      <c r="T56" s="28" t="str">
        <f aca="false">IF(Q56="","",Q56*12*Settings!$B$5/8)</f>
        <v/>
      </c>
      <c r="U56" s="27" t="str">
        <f aca="false">IF(OR(S56="",T56="",T56=0),"",ROUND(S56/(T56/12),1))</f>
        <v/>
      </c>
      <c r="V56" s="29"/>
      <c r="W56" s="29"/>
      <c r="X56" s="25"/>
      <c r="Y56" s="25"/>
      <c r="Z56" s="30"/>
      <c r="AA56" s="30"/>
      <c r="AB56" s="27" t="str">
        <f aca="true">IF(Z56="","",IF(AA56="",TODAY(),AA56)-Z56)</f>
        <v/>
      </c>
      <c r="AC56" s="31" t="str">
        <f aca="false">IF(AB56="","",IF(AND(OR(X56="New",X56="Triaged"),AB56&gt;Settings!$B$9),"STALE",""))</f>
        <v/>
      </c>
      <c r="AD56" s="24"/>
    </row>
    <row r="57" customFormat="false" ht="15" hidden="false" customHeight="false" outlineLevel="0" collapsed="false">
      <c r="A57" s="23"/>
      <c r="B57" s="24"/>
      <c r="C57" s="25"/>
      <c r="D57" s="25"/>
      <c r="E57" s="25"/>
      <c r="F57" s="24"/>
      <c r="G57" s="25"/>
      <c r="H57" s="25"/>
      <c r="I57" s="25"/>
      <c r="J57" s="25"/>
      <c r="K57" s="26"/>
      <c r="L57" s="26"/>
      <c r="M57" s="26"/>
      <c r="N57" s="26"/>
      <c r="O57" s="27" t="str">
        <f aca="false">IF(OR(N57="",N57=0),"",ROUND((K57+L57+M57)/N57,1))</f>
        <v/>
      </c>
      <c r="P57" s="27" t="str">
        <f aca="false">IF(OR(O57="",X57="Done",X57="Rejected"),"",COUNTIFS($O$5:$O$204,"&gt;"&amp;O57,$X$5:$X$204,"&lt;&gt;Done",$X$5:$X$204,"&lt;&gt;Rejected")+1)</f>
        <v/>
      </c>
      <c r="Q57" s="26"/>
      <c r="R57" s="26"/>
      <c r="S57" s="28" t="str">
        <f aca="false">IF(R57="","",R57*Settings!$B$5)</f>
        <v/>
      </c>
      <c r="T57" s="28" t="str">
        <f aca="false">IF(Q57="","",Q57*12*Settings!$B$5/8)</f>
        <v/>
      </c>
      <c r="U57" s="27" t="str">
        <f aca="false">IF(OR(S57="",T57="",T57=0),"",ROUND(S57/(T57/12),1))</f>
        <v/>
      </c>
      <c r="V57" s="29"/>
      <c r="W57" s="29"/>
      <c r="X57" s="25"/>
      <c r="Y57" s="25"/>
      <c r="Z57" s="30"/>
      <c r="AA57" s="30"/>
      <c r="AB57" s="27" t="str">
        <f aca="true">IF(Z57="","",IF(AA57="",TODAY(),AA57)-Z57)</f>
        <v/>
      </c>
      <c r="AC57" s="31" t="str">
        <f aca="false">IF(AB57="","",IF(AND(OR(X57="New",X57="Triaged"),AB57&gt;Settings!$B$9),"STALE",""))</f>
        <v/>
      </c>
      <c r="AD57" s="24"/>
    </row>
    <row r="58" customFormat="false" ht="15" hidden="false" customHeight="false" outlineLevel="0" collapsed="false">
      <c r="A58" s="23"/>
      <c r="B58" s="24"/>
      <c r="C58" s="25"/>
      <c r="D58" s="25"/>
      <c r="E58" s="25"/>
      <c r="F58" s="24"/>
      <c r="G58" s="25"/>
      <c r="H58" s="25"/>
      <c r="I58" s="25"/>
      <c r="J58" s="25"/>
      <c r="K58" s="26"/>
      <c r="L58" s="26"/>
      <c r="M58" s="26"/>
      <c r="N58" s="26"/>
      <c r="O58" s="27" t="str">
        <f aca="false">IF(OR(N58="",N58=0),"",ROUND((K58+L58+M58)/N58,1))</f>
        <v/>
      </c>
      <c r="P58" s="27" t="str">
        <f aca="false">IF(OR(O58="",X58="Done",X58="Rejected"),"",COUNTIFS($O$5:$O$204,"&gt;"&amp;O58,$X$5:$X$204,"&lt;&gt;Done",$X$5:$X$204,"&lt;&gt;Rejected")+1)</f>
        <v/>
      </c>
      <c r="Q58" s="26"/>
      <c r="R58" s="26"/>
      <c r="S58" s="28" t="str">
        <f aca="false">IF(R58="","",R58*Settings!$B$5)</f>
        <v/>
      </c>
      <c r="T58" s="28" t="str">
        <f aca="false">IF(Q58="","",Q58*12*Settings!$B$5/8)</f>
        <v/>
      </c>
      <c r="U58" s="27" t="str">
        <f aca="false">IF(OR(S58="",T58="",T58=0),"",ROUND(S58/(T58/12),1))</f>
        <v/>
      </c>
      <c r="V58" s="29"/>
      <c r="W58" s="29"/>
      <c r="X58" s="25"/>
      <c r="Y58" s="25"/>
      <c r="Z58" s="30"/>
      <c r="AA58" s="30"/>
      <c r="AB58" s="27" t="str">
        <f aca="true">IF(Z58="","",IF(AA58="",TODAY(),AA58)-Z58)</f>
        <v/>
      </c>
      <c r="AC58" s="31" t="str">
        <f aca="false">IF(AB58="","",IF(AND(OR(X58="New",X58="Triaged"),AB58&gt;Settings!$B$9),"STALE",""))</f>
        <v/>
      </c>
      <c r="AD58" s="24"/>
    </row>
    <row r="59" customFormat="false" ht="15" hidden="false" customHeight="false" outlineLevel="0" collapsed="false">
      <c r="A59" s="23"/>
      <c r="B59" s="24"/>
      <c r="C59" s="25"/>
      <c r="D59" s="25"/>
      <c r="E59" s="25"/>
      <c r="F59" s="24"/>
      <c r="G59" s="25"/>
      <c r="H59" s="25"/>
      <c r="I59" s="25"/>
      <c r="J59" s="25"/>
      <c r="K59" s="26"/>
      <c r="L59" s="26"/>
      <c r="M59" s="26"/>
      <c r="N59" s="26"/>
      <c r="O59" s="27" t="str">
        <f aca="false">IF(OR(N59="",N59=0),"",ROUND((K59+L59+M59)/N59,1))</f>
        <v/>
      </c>
      <c r="P59" s="27" t="str">
        <f aca="false">IF(OR(O59="",X59="Done",X59="Rejected"),"",COUNTIFS($O$5:$O$204,"&gt;"&amp;O59,$X$5:$X$204,"&lt;&gt;Done",$X$5:$X$204,"&lt;&gt;Rejected")+1)</f>
        <v/>
      </c>
      <c r="Q59" s="26"/>
      <c r="R59" s="26"/>
      <c r="S59" s="28" t="str">
        <f aca="false">IF(R59="","",R59*Settings!$B$5)</f>
        <v/>
      </c>
      <c r="T59" s="28" t="str">
        <f aca="false">IF(Q59="","",Q59*12*Settings!$B$5/8)</f>
        <v/>
      </c>
      <c r="U59" s="27" t="str">
        <f aca="false">IF(OR(S59="",T59="",T59=0),"",ROUND(S59/(T59/12),1))</f>
        <v/>
      </c>
      <c r="V59" s="29"/>
      <c r="W59" s="29"/>
      <c r="X59" s="25"/>
      <c r="Y59" s="25"/>
      <c r="Z59" s="30"/>
      <c r="AA59" s="30"/>
      <c r="AB59" s="27" t="str">
        <f aca="true">IF(Z59="","",IF(AA59="",TODAY(),AA59)-Z59)</f>
        <v/>
      </c>
      <c r="AC59" s="31" t="str">
        <f aca="false">IF(AB59="","",IF(AND(OR(X59="New",X59="Triaged"),AB59&gt;Settings!$B$9),"STALE",""))</f>
        <v/>
      </c>
      <c r="AD59" s="24"/>
    </row>
    <row r="60" customFormat="false" ht="15" hidden="false" customHeight="false" outlineLevel="0" collapsed="false">
      <c r="A60" s="23"/>
      <c r="B60" s="24"/>
      <c r="C60" s="25"/>
      <c r="D60" s="25"/>
      <c r="E60" s="25"/>
      <c r="F60" s="24"/>
      <c r="G60" s="25"/>
      <c r="H60" s="25"/>
      <c r="I60" s="25"/>
      <c r="J60" s="25"/>
      <c r="K60" s="26"/>
      <c r="L60" s="26"/>
      <c r="M60" s="26"/>
      <c r="N60" s="26"/>
      <c r="O60" s="27" t="str">
        <f aca="false">IF(OR(N60="",N60=0),"",ROUND((K60+L60+M60)/N60,1))</f>
        <v/>
      </c>
      <c r="P60" s="27" t="str">
        <f aca="false">IF(OR(O60="",X60="Done",X60="Rejected"),"",COUNTIFS($O$5:$O$204,"&gt;"&amp;O60,$X$5:$X$204,"&lt;&gt;Done",$X$5:$X$204,"&lt;&gt;Rejected")+1)</f>
        <v/>
      </c>
      <c r="Q60" s="26"/>
      <c r="R60" s="26"/>
      <c r="S60" s="28" t="str">
        <f aca="false">IF(R60="","",R60*Settings!$B$5)</f>
        <v/>
      </c>
      <c r="T60" s="28" t="str">
        <f aca="false">IF(Q60="","",Q60*12*Settings!$B$5/8)</f>
        <v/>
      </c>
      <c r="U60" s="27" t="str">
        <f aca="false">IF(OR(S60="",T60="",T60=0),"",ROUND(S60/(T60/12),1))</f>
        <v/>
      </c>
      <c r="V60" s="29"/>
      <c r="W60" s="29"/>
      <c r="X60" s="25"/>
      <c r="Y60" s="25"/>
      <c r="Z60" s="30"/>
      <c r="AA60" s="30"/>
      <c r="AB60" s="27" t="str">
        <f aca="true">IF(Z60="","",IF(AA60="",TODAY(),AA60)-Z60)</f>
        <v/>
      </c>
      <c r="AC60" s="31" t="str">
        <f aca="false">IF(AB60="","",IF(AND(OR(X60="New",X60="Triaged"),AB60&gt;Settings!$B$9),"STALE",""))</f>
        <v/>
      </c>
      <c r="AD60" s="24"/>
    </row>
    <row r="61" customFormat="false" ht="15" hidden="false" customHeight="false" outlineLevel="0" collapsed="false">
      <c r="A61" s="23"/>
      <c r="B61" s="24"/>
      <c r="C61" s="25"/>
      <c r="D61" s="25"/>
      <c r="E61" s="25"/>
      <c r="F61" s="24"/>
      <c r="G61" s="25"/>
      <c r="H61" s="25"/>
      <c r="I61" s="25"/>
      <c r="J61" s="25"/>
      <c r="K61" s="26"/>
      <c r="L61" s="26"/>
      <c r="M61" s="26"/>
      <c r="N61" s="26"/>
      <c r="O61" s="27" t="str">
        <f aca="false">IF(OR(N61="",N61=0),"",ROUND((K61+L61+M61)/N61,1))</f>
        <v/>
      </c>
      <c r="P61" s="27" t="str">
        <f aca="false">IF(OR(O61="",X61="Done",X61="Rejected"),"",COUNTIFS($O$5:$O$204,"&gt;"&amp;O61,$X$5:$X$204,"&lt;&gt;Done",$X$5:$X$204,"&lt;&gt;Rejected")+1)</f>
        <v/>
      </c>
      <c r="Q61" s="26"/>
      <c r="R61" s="26"/>
      <c r="S61" s="28" t="str">
        <f aca="false">IF(R61="","",R61*Settings!$B$5)</f>
        <v/>
      </c>
      <c r="T61" s="28" t="str">
        <f aca="false">IF(Q61="","",Q61*12*Settings!$B$5/8)</f>
        <v/>
      </c>
      <c r="U61" s="27" t="str">
        <f aca="false">IF(OR(S61="",T61="",T61=0),"",ROUND(S61/(T61/12),1))</f>
        <v/>
      </c>
      <c r="V61" s="29"/>
      <c r="W61" s="29"/>
      <c r="X61" s="25"/>
      <c r="Y61" s="25"/>
      <c r="Z61" s="30"/>
      <c r="AA61" s="30"/>
      <c r="AB61" s="27" t="str">
        <f aca="true">IF(Z61="","",IF(AA61="",TODAY(),AA61)-Z61)</f>
        <v/>
      </c>
      <c r="AC61" s="31" t="str">
        <f aca="false">IF(AB61="","",IF(AND(OR(X61="New",X61="Triaged"),AB61&gt;Settings!$B$9),"STALE",""))</f>
        <v/>
      </c>
      <c r="AD61" s="24"/>
    </row>
    <row r="62" customFormat="false" ht="15" hidden="false" customHeight="false" outlineLevel="0" collapsed="false">
      <c r="A62" s="23"/>
      <c r="B62" s="24"/>
      <c r="C62" s="25"/>
      <c r="D62" s="25"/>
      <c r="E62" s="25"/>
      <c r="F62" s="24"/>
      <c r="G62" s="25"/>
      <c r="H62" s="25"/>
      <c r="I62" s="25"/>
      <c r="J62" s="25"/>
      <c r="K62" s="26"/>
      <c r="L62" s="26"/>
      <c r="M62" s="26"/>
      <c r="N62" s="26"/>
      <c r="O62" s="27" t="str">
        <f aca="false">IF(OR(N62="",N62=0),"",ROUND((K62+L62+M62)/N62,1))</f>
        <v/>
      </c>
      <c r="P62" s="27" t="str">
        <f aca="false">IF(OR(O62="",X62="Done",X62="Rejected"),"",COUNTIFS($O$5:$O$204,"&gt;"&amp;O62,$X$5:$X$204,"&lt;&gt;Done",$X$5:$X$204,"&lt;&gt;Rejected")+1)</f>
        <v/>
      </c>
      <c r="Q62" s="26"/>
      <c r="R62" s="26"/>
      <c r="S62" s="28" t="str">
        <f aca="false">IF(R62="","",R62*Settings!$B$5)</f>
        <v/>
      </c>
      <c r="T62" s="28" t="str">
        <f aca="false">IF(Q62="","",Q62*12*Settings!$B$5/8)</f>
        <v/>
      </c>
      <c r="U62" s="27" t="str">
        <f aca="false">IF(OR(S62="",T62="",T62=0),"",ROUND(S62/(T62/12),1))</f>
        <v/>
      </c>
      <c r="V62" s="29"/>
      <c r="W62" s="29"/>
      <c r="X62" s="25"/>
      <c r="Y62" s="25"/>
      <c r="Z62" s="30"/>
      <c r="AA62" s="30"/>
      <c r="AB62" s="27" t="str">
        <f aca="true">IF(Z62="","",IF(AA62="",TODAY(),AA62)-Z62)</f>
        <v/>
      </c>
      <c r="AC62" s="31" t="str">
        <f aca="false">IF(AB62="","",IF(AND(OR(X62="New",X62="Triaged"),AB62&gt;Settings!$B$9),"STALE",""))</f>
        <v/>
      </c>
      <c r="AD62" s="24"/>
    </row>
    <row r="63" customFormat="false" ht="15" hidden="false" customHeight="false" outlineLevel="0" collapsed="false">
      <c r="A63" s="23"/>
      <c r="B63" s="24"/>
      <c r="C63" s="25"/>
      <c r="D63" s="25"/>
      <c r="E63" s="25"/>
      <c r="F63" s="24"/>
      <c r="G63" s="25"/>
      <c r="H63" s="25"/>
      <c r="I63" s="25"/>
      <c r="J63" s="25"/>
      <c r="K63" s="26"/>
      <c r="L63" s="26"/>
      <c r="M63" s="26"/>
      <c r="N63" s="26"/>
      <c r="O63" s="27" t="str">
        <f aca="false">IF(OR(N63="",N63=0),"",ROUND((K63+L63+M63)/N63,1))</f>
        <v/>
      </c>
      <c r="P63" s="27" t="str">
        <f aca="false">IF(OR(O63="",X63="Done",X63="Rejected"),"",COUNTIFS($O$5:$O$204,"&gt;"&amp;O63,$X$5:$X$204,"&lt;&gt;Done",$X$5:$X$204,"&lt;&gt;Rejected")+1)</f>
        <v/>
      </c>
      <c r="Q63" s="26"/>
      <c r="R63" s="26"/>
      <c r="S63" s="28" t="str">
        <f aca="false">IF(R63="","",R63*Settings!$B$5)</f>
        <v/>
      </c>
      <c r="T63" s="28" t="str">
        <f aca="false">IF(Q63="","",Q63*12*Settings!$B$5/8)</f>
        <v/>
      </c>
      <c r="U63" s="27" t="str">
        <f aca="false">IF(OR(S63="",T63="",T63=0),"",ROUND(S63/(T63/12),1))</f>
        <v/>
      </c>
      <c r="V63" s="29"/>
      <c r="W63" s="29"/>
      <c r="X63" s="25"/>
      <c r="Y63" s="25"/>
      <c r="Z63" s="30"/>
      <c r="AA63" s="30"/>
      <c r="AB63" s="27" t="str">
        <f aca="true">IF(Z63="","",IF(AA63="",TODAY(),AA63)-Z63)</f>
        <v/>
      </c>
      <c r="AC63" s="31" t="str">
        <f aca="false">IF(AB63="","",IF(AND(OR(X63="New",X63="Triaged"),AB63&gt;Settings!$B$9),"STALE",""))</f>
        <v/>
      </c>
      <c r="AD63" s="24"/>
    </row>
    <row r="64" customFormat="false" ht="15" hidden="false" customHeight="false" outlineLevel="0" collapsed="false">
      <c r="A64" s="23"/>
      <c r="B64" s="24"/>
      <c r="C64" s="25"/>
      <c r="D64" s="25"/>
      <c r="E64" s="25"/>
      <c r="F64" s="24"/>
      <c r="G64" s="25"/>
      <c r="H64" s="25"/>
      <c r="I64" s="25"/>
      <c r="J64" s="25"/>
      <c r="K64" s="26"/>
      <c r="L64" s="26"/>
      <c r="M64" s="26"/>
      <c r="N64" s="26"/>
      <c r="O64" s="27" t="str">
        <f aca="false">IF(OR(N64="",N64=0),"",ROUND((K64+L64+M64)/N64,1))</f>
        <v/>
      </c>
      <c r="P64" s="27" t="str">
        <f aca="false">IF(OR(O64="",X64="Done",X64="Rejected"),"",COUNTIFS($O$5:$O$204,"&gt;"&amp;O64,$X$5:$X$204,"&lt;&gt;Done",$X$5:$X$204,"&lt;&gt;Rejected")+1)</f>
        <v/>
      </c>
      <c r="Q64" s="26"/>
      <c r="R64" s="26"/>
      <c r="S64" s="28" t="str">
        <f aca="false">IF(R64="","",R64*Settings!$B$5)</f>
        <v/>
      </c>
      <c r="T64" s="28" t="str">
        <f aca="false">IF(Q64="","",Q64*12*Settings!$B$5/8)</f>
        <v/>
      </c>
      <c r="U64" s="27" t="str">
        <f aca="false">IF(OR(S64="",T64="",T64=0),"",ROUND(S64/(T64/12),1))</f>
        <v/>
      </c>
      <c r="V64" s="29"/>
      <c r="W64" s="29"/>
      <c r="X64" s="25"/>
      <c r="Y64" s="25"/>
      <c r="Z64" s="30"/>
      <c r="AA64" s="30"/>
      <c r="AB64" s="27" t="str">
        <f aca="true">IF(Z64="","",IF(AA64="",TODAY(),AA64)-Z64)</f>
        <v/>
      </c>
      <c r="AC64" s="31" t="str">
        <f aca="false">IF(AB64="","",IF(AND(OR(X64="New",X64="Triaged"),AB64&gt;Settings!$B$9),"STALE",""))</f>
        <v/>
      </c>
      <c r="AD64" s="24"/>
    </row>
    <row r="65" customFormat="false" ht="15" hidden="false" customHeight="false" outlineLevel="0" collapsed="false">
      <c r="A65" s="23"/>
      <c r="B65" s="24"/>
      <c r="C65" s="25"/>
      <c r="D65" s="25"/>
      <c r="E65" s="25"/>
      <c r="F65" s="24"/>
      <c r="G65" s="25"/>
      <c r="H65" s="25"/>
      <c r="I65" s="25"/>
      <c r="J65" s="25"/>
      <c r="K65" s="26"/>
      <c r="L65" s="26"/>
      <c r="M65" s="26"/>
      <c r="N65" s="26"/>
      <c r="O65" s="27" t="str">
        <f aca="false">IF(OR(N65="",N65=0),"",ROUND((K65+L65+M65)/N65,1))</f>
        <v/>
      </c>
      <c r="P65" s="27" t="str">
        <f aca="false">IF(OR(O65="",X65="Done",X65="Rejected"),"",COUNTIFS($O$5:$O$204,"&gt;"&amp;O65,$X$5:$X$204,"&lt;&gt;Done",$X$5:$X$204,"&lt;&gt;Rejected")+1)</f>
        <v/>
      </c>
      <c r="Q65" s="26"/>
      <c r="R65" s="26"/>
      <c r="S65" s="28" t="str">
        <f aca="false">IF(R65="","",R65*Settings!$B$5)</f>
        <v/>
      </c>
      <c r="T65" s="28" t="str">
        <f aca="false">IF(Q65="","",Q65*12*Settings!$B$5/8)</f>
        <v/>
      </c>
      <c r="U65" s="27" t="str">
        <f aca="false">IF(OR(S65="",T65="",T65=0),"",ROUND(S65/(T65/12),1))</f>
        <v/>
      </c>
      <c r="V65" s="29"/>
      <c r="W65" s="29"/>
      <c r="X65" s="25"/>
      <c r="Y65" s="25"/>
      <c r="Z65" s="30"/>
      <c r="AA65" s="30"/>
      <c r="AB65" s="27" t="str">
        <f aca="true">IF(Z65="","",IF(AA65="",TODAY(),AA65)-Z65)</f>
        <v/>
      </c>
      <c r="AC65" s="31" t="str">
        <f aca="false">IF(AB65="","",IF(AND(OR(X65="New",X65="Triaged"),AB65&gt;Settings!$B$9),"STALE",""))</f>
        <v/>
      </c>
      <c r="AD65" s="24"/>
    </row>
    <row r="66" customFormat="false" ht="15" hidden="false" customHeight="false" outlineLevel="0" collapsed="false">
      <c r="A66" s="23"/>
      <c r="B66" s="24"/>
      <c r="C66" s="25"/>
      <c r="D66" s="25"/>
      <c r="E66" s="25"/>
      <c r="F66" s="24"/>
      <c r="G66" s="25"/>
      <c r="H66" s="25"/>
      <c r="I66" s="25"/>
      <c r="J66" s="25"/>
      <c r="K66" s="26"/>
      <c r="L66" s="26"/>
      <c r="M66" s="26"/>
      <c r="N66" s="26"/>
      <c r="O66" s="27" t="str">
        <f aca="false">IF(OR(N66="",N66=0),"",ROUND((K66+L66+M66)/N66,1))</f>
        <v/>
      </c>
      <c r="P66" s="27" t="str">
        <f aca="false">IF(OR(O66="",X66="Done",X66="Rejected"),"",COUNTIFS($O$5:$O$204,"&gt;"&amp;O66,$X$5:$X$204,"&lt;&gt;Done",$X$5:$X$204,"&lt;&gt;Rejected")+1)</f>
        <v/>
      </c>
      <c r="Q66" s="26"/>
      <c r="R66" s="26"/>
      <c r="S66" s="28" t="str">
        <f aca="false">IF(R66="","",R66*Settings!$B$5)</f>
        <v/>
      </c>
      <c r="T66" s="28" t="str">
        <f aca="false">IF(Q66="","",Q66*12*Settings!$B$5/8)</f>
        <v/>
      </c>
      <c r="U66" s="27" t="str">
        <f aca="false">IF(OR(S66="",T66="",T66=0),"",ROUND(S66/(T66/12),1))</f>
        <v/>
      </c>
      <c r="V66" s="29"/>
      <c r="W66" s="29"/>
      <c r="X66" s="25"/>
      <c r="Y66" s="25"/>
      <c r="Z66" s="30"/>
      <c r="AA66" s="30"/>
      <c r="AB66" s="27" t="str">
        <f aca="true">IF(Z66="","",IF(AA66="",TODAY(),AA66)-Z66)</f>
        <v/>
      </c>
      <c r="AC66" s="31" t="str">
        <f aca="false">IF(AB66="","",IF(AND(OR(X66="New",X66="Triaged"),AB66&gt;Settings!$B$9),"STALE",""))</f>
        <v/>
      </c>
      <c r="AD66" s="24"/>
    </row>
    <row r="67" customFormat="false" ht="15" hidden="false" customHeight="false" outlineLevel="0" collapsed="false">
      <c r="A67" s="23"/>
      <c r="B67" s="24"/>
      <c r="C67" s="25"/>
      <c r="D67" s="25"/>
      <c r="E67" s="25"/>
      <c r="F67" s="24"/>
      <c r="G67" s="25"/>
      <c r="H67" s="25"/>
      <c r="I67" s="25"/>
      <c r="J67" s="25"/>
      <c r="K67" s="26"/>
      <c r="L67" s="26"/>
      <c r="M67" s="26"/>
      <c r="N67" s="26"/>
      <c r="O67" s="27" t="str">
        <f aca="false">IF(OR(N67="",N67=0),"",ROUND((K67+L67+M67)/N67,1))</f>
        <v/>
      </c>
      <c r="P67" s="27" t="str">
        <f aca="false">IF(OR(O67="",X67="Done",X67="Rejected"),"",COUNTIFS($O$5:$O$204,"&gt;"&amp;O67,$X$5:$X$204,"&lt;&gt;Done",$X$5:$X$204,"&lt;&gt;Rejected")+1)</f>
        <v/>
      </c>
      <c r="Q67" s="26"/>
      <c r="R67" s="26"/>
      <c r="S67" s="28" t="str">
        <f aca="false">IF(R67="","",R67*Settings!$B$5)</f>
        <v/>
      </c>
      <c r="T67" s="28" t="str">
        <f aca="false">IF(Q67="","",Q67*12*Settings!$B$5/8)</f>
        <v/>
      </c>
      <c r="U67" s="27" t="str">
        <f aca="false">IF(OR(S67="",T67="",T67=0),"",ROUND(S67/(T67/12),1))</f>
        <v/>
      </c>
      <c r="V67" s="29"/>
      <c r="W67" s="29"/>
      <c r="X67" s="25"/>
      <c r="Y67" s="25"/>
      <c r="Z67" s="30"/>
      <c r="AA67" s="30"/>
      <c r="AB67" s="27" t="str">
        <f aca="true">IF(Z67="","",IF(AA67="",TODAY(),AA67)-Z67)</f>
        <v/>
      </c>
      <c r="AC67" s="31" t="str">
        <f aca="false">IF(AB67="","",IF(AND(OR(X67="New",X67="Triaged"),AB67&gt;Settings!$B$9),"STALE",""))</f>
        <v/>
      </c>
      <c r="AD67" s="24"/>
    </row>
    <row r="68" customFormat="false" ht="15" hidden="false" customHeight="false" outlineLevel="0" collapsed="false">
      <c r="A68" s="23"/>
      <c r="B68" s="24"/>
      <c r="C68" s="25"/>
      <c r="D68" s="25"/>
      <c r="E68" s="25"/>
      <c r="F68" s="24"/>
      <c r="G68" s="25"/>
      <c r="H68" s="25"/>
      <c r="I68" s="25"/>
      <c r="J68" s="25"/>
      <c r="K68" s="26"/>
      <c r="L68" s="26"/>
      <c r="M68" s="26"/>
      <c r="N68" s="26"/>
      <c r="O68" s="27" t="str">
        <f aca="false">IF(OR(N68="",N68=0),"",ROUND((K68+L68+M68)/N68,1))</f>
        <v/>
      </c>
      <c r="P68" s="27" t="str">
        <f aca="false">IF(OR(O68="",X68="Done",X68="Rejected"),"",COUNTIFS($O$5:$O$204,"&gt;"&amp;O68,$X$5:$X$204,"&lt;&gt;Done",$X$5:$X$204,"&lt;&gt;Rejected")+1)</f>
        <v/>
      </c>
      <c r="Q68" s="26"/>
      <c r="R68" s="26"/>
      <c r="S68" s="28" t="str">
        <f aca="false">IF(R68="","",R68*Settings!$B$5)</f>
        <v/>
      </c>
      <c r="T68" s="28" t="str">
        <f aca="false">IF(Q68="","",Q68*12*Settings!$B$5/8)</f>
        <v/>
      </c>
      <c r="U68" s="27" t="str">
        <f aca="false">IF(OR(S68="",T68="",T68=0),"",ROUND(S68/(T68/12),1))</f>
        <v/>
      </c>
      <c r="V68" s="29"/>
      <c r="W68" s="29"/>
      <c r="X68" s="25"/>
      <c r="Y68" s="25"/>
      <c r="Z68" s="30"/>
      <c r="AA68" s="30"/>
      <c r="AB68" s="27" t="str">
        <f aca="true">IF(Z68="","",IF(AA68="",TODAY(),AA68)-Z68)</f>
        <v/>
      </c>
      <c r="AC68" s="31" t="str">
        <f aca="false">IF(AB68="","",IF(AND(OR(X68="New",X68="Triaged"),AB68&gt;Settings!$B$9),"STALE",""))</f>
        <v/>
      </c>
      <c r="AD68" s="24"/>
    </row>
    <row r="69" customFormat="false" ht="15" hidden="false" customHeight="false" outlineLevel="0" collapsed="false">
      <c r="A69" s="23"/>
      <c r="B69" s="24"/>
      <c r="C69" s="25"/>
      <c r="D69" s="25"/>
      <c r="E69" s="25"/>
      <c r="F69" s="24"/>
      <c r="G69" s="25"/>
      <c r="H69" s="25"/>
      <c r="I69" s="25"/>
      <c r="J69" s="25"/>
      <c r="K69" s="26"/>
      <c r="L69" s="26"/>
      <c r="M69" s="26"/>
      <c r="N69" s="26"/>
      <c r="O69" s="27" t="str">
        <f aca="false">IF(OR(N69="",N69=0),"",ROUND((K69+L69+M69)/N69,1))</f>
        <v/>
      </c>
      <c r="P69" s="27" t="str">
        <f aca="false">IF(OR(O69="",X69="Done",X69="Rejected"),"",COUNTIFS($O$5:$O$204,"&gt;"&amp;O69,$X$5:$X$204,"&lt;&gt;Done",$X$5:$X$204,"&lt;&gt;Rejected")+1)</f>
        <v/>
      </c>
      <c r="Q69" s="26"/>
      <c r="R69" s="26"/>
      <c r="S69" s="28" t="str">
        <f aca="false">IF(R69="","",R69*Settings!$B$5)</f>
        <v/>
      </c>
      <c r="T69" s="28" t="str">
        <f aca="false">IF(Q69="","",Q69*12*Settings!$B$5/8)</f>
        <v/>
      </c>
      <c r="U69" s="27" t="str">
        <f aca="false">IF(OR(S69="",T69="",T69=0),"",ROUND(S69/(T69/12),1))</f>
        <v/>
      </c>
      <c r="V69" s="29"/>
      <c r="W69" s="29"/>
      <c r="X69" s="25"/>
      <c r="Y69" s="25"/>
      <c r="Z69" s="30"/>
      <c r="AA69" s="30"/>
      <c r="AB69" s="27" t="str">
        <f aca="true">IF(Z69="","",IF(AA69="",TODAY(),AA69)-Z69)</f>
        <v/>
      </c>
      <c r="AC69" s="31" t="str">
        <f aca="false">IF(AB69="","",IF(AND(OR(X69="New",X69="Triaged"),AB69&gt;Settings!$B$9),"STALE",""))</f>
        <v/>
      </c>
      <c r="AD69" s="24"/>
    </row>
    <row r="70" customFormat="false" ht="15" hidden="false" customHeight="false" outlineLevel="0" collapsed="false">
      <c r="A70" s="23"/>
      <c r="B70" s="24"/>
      <c r="C70" s="25"/>
      <c r="D70" s="25"/>
      <c r="E70" s="25"/>
      <c r="F70" s="24"/>
      <c r="G70" s="25"/>
      <c r="H70" s="25"/>
      <c r="I70" s="25"/>
      <c r="J70" s="25"/>
      <c r="K70" s="26"/>
      <c r="L70" s="26"/>
      <c r="M70" s="26"/>
      <c r="N70" s="26"/>
      <c r="O70" s="27" t="str">
        <f aca="false">IF(OR(N70="",N70=0),"",ROUND((K70+L70+M70)/N70,1))</f>
        <v/>
      </c>
      <c r="P70" s="27" t="str">
        <f aca="false">IF(OR(O70="",X70="Done",X70="Rejected"),"",COUNTIFS($O$5:$O$204,"&gt;"&amp;O70,$X$5:$X$204,"&lt;&gt;Done",$X$5:$X$204,"&lt;&gt;Rejected")+1)</f>
        <v/>
      </c>
      <c r="Q70" s="26"/>
      <c r="R70" s="26"/>
      <c r="S70" s="28" t="str">
        <f aca="false">IF(R70="","",R70*Settings!$B$5)</f>
        <v/>
      </c>
      <c r="T70" s="28" t="str">
        <f aca="false">IF(Q70="","",Q70*12*Settings!$B$5/8)</f>
        <v/>
      </c>
      <c r="U70" s="27" t="str">
        <f aca="false">IF(OR(S70="",T70="",T70=0),"",ROUND(S70/(T70/12),1))</f>
        <v/>
      </c>
      <c r="V70" s="29"/>
      <c r="W70" s="29"/>
      <c r="X70" s="25"/>
      <c r="Y70" s="25"/>
      <c r="Z70" s="30"/>
      <c r="AA70" s="30"/>
      <c r="AB70" s="27" t="str">
        <f aca="true">IF(Z70="","",IF(AA70="",TODAY(),AA70)-Z70)</f>
        <v/>
      </c>
      <c r="AC70" s="31" t="str">
        <f aca="false">IF(AB70="","",IF(AND(OR(X70="New",X70="Triaged"),AB70&gt;Settings!$B$9),"STALE",""))</f>
        <v/>
      </c>
      <c r="AD70" s="24"/>
    </row>
    <row r="71" customFormat="false" ht="15" hidden="false" customHeight="false" outlineLevel="0" collapsed="false">
      <c r="A71" s="23"/>
      <c r="B71" s="24"/>
      <c r="C71" s="25"/>
      <c r="D71" s="25"/>
      <c r="E71" s="25"/>
      <c r="F71" s="24"/>
      <c r="G71" s="25"/>
      <c r="H71" s="25"/>
      <c r="I71" s="25"/>
      <c r="J71" s="25"/>
      <c r="K71" s="26"/>
      <c r="L71" s="26"/>
      <c r="M71" s="26"/>
      <c r="N71" s="26"/>
      <c r="O71" s="27" t="str">
        <f aca="false">IF(OR(N71="",N71=0),"",ROUND((K71+L71+M71)/N71,1))</f>
        <v/>
      </c>
      <c r="P71" s="27" t="str">
        <f aca="false">IF(OR(O71="",X71="Done",X71="Rejected"),"",COUNTIFS($O$5:$O$204,"&gt;"&amp;O71,$X$5:$X$204,"&lt;&gt;Done",$X$5:$X$204,"&lt;&gt;Rejected")+1)</f>
        <v/>
      </c>
      <c r="Q71" s="26"/>
      <c r="R71" s="26"/>
      <c r="S71" s="28" t="str">
        <f aca="false">IF(R71="","",R71*Settings!$B$5)</f>
        <v/>
      </c>
      <c r="T71" s="28" t="str">
        <f aca="false">IF(Q71="","",Q71*12*Settings!$B$5/8)</f>
        <v/>
      </c>
      <c r="U71" s="27" t="str">
        <f aca="false">IF(OR(S71="",T71="",T71=0),"",ROUND(S71/(T71/12),1))</f>
        <v/>
      </c>
      <c r="V71" s="29"/>
      <c r="W71" s="29"/>
      <c r="X71" s="25"/>
      <c r="Y71" s="25"/>
      <c r="Z71" s="30"/>
      <c r="AA71" s="30"/>
      <c r="AB71" s="27" t="str">
        <f aca="true">IF(Z71="","",IF(AA71="",TODAY(),AA71)-Z71)</f>
        <v/>
      </c>
      <c r="AC71" s="31" t="str">
        <f aca="false">IF(AB71="","",IF(AND(OR(X71="New",X71="Triaged"),AB71&gt;Settings!$B$9),"STALE",""))</f>
        <v/>
      </c>
      <c r="AD71" s="24"/>
    </row>
    <row r="72" customFormat="false" ht="15" hidden="false" customHeight="false" outlineLevel="0" collapsed="false">
      <c r="A72" s="23"/>
      <c r="B72" s="24"/>
      <c r="C72" s="25"/>
      <c r="D72" s="25"/>
      <c r="E72" s="25"/>
      <c r="F72" s="24"/>
      <c r="G72" s="25"/>
      <c r="H72" s="25"/>
      <c r="I72" s="25"/>
      <c r="J72" s="25"/>
      <c r="K72" s="26"/>
      <c r="L72" s="26"/>
      <c r="M72" s="26"/>
      <c r="N72" s="26"/>
      <c r="O72" s="27" t="str">
        <f aca="false">IF(OR(N72="",N72=0),"",ROUND((K72+L72+M72)/N72,1))</f>
        <v/>
      </c>
      <c r="P72" s="27" t="str">
        <f aca="false">IF(OR(O72="",X72="Done",X72="Rejected"),"",COUNTIFS($O$5:$O$204,"&gt;"&amp;O72,$X$5:$X$204,"&lt;&gt;Done",$X$5:$X$204,"&lt;&gt;Rejected")+1)</f>
        <v/>
      </c>
      <c r="Q72" s="26"/>
      <c r="R72" s="26"/>
      <c r="S72" s="28" t="str">
        <f aca="false">IF(R72="","",R72*Settings!$B$5)</f>
        <v/>
      </c>
      <c r="T72" s="28" t="str">
        <f aca="false">IF(Q72="","",Q72*12*Settings!$B$5/8)</f>
        <v/>
      </c>
      <c r="U72" s="27" t="str">
        <f aca="false">IF(OR(S72="",T72="",T72=0),"",ROUND(S72/(T72/12),1))</f>
        <v/>
      </c>
      <c r="V72" s="29"/>
      <c r="W72" s="29"/>
      <c r="X72" s="25"/>
      <c r="Y72" s="25"/>
      <c r="Z72" s="30"/>
      <c r="AA72" s="30"/>
      <c r="AB72" s="27" t="str">
        <f aca="true">IF(Z72="","",IF(AA72="",TODAY(),AA72)-Z72)</f>
        <v/>
      </c>
      <c r="AC72" s="31" t="str">
        <f aca="false">IF(AB72="","",IF(AND(OR(X72="New",X72="Triaged"),AB72&gt;Settings!$B$9),"STALE",""))</f>
        <v/>
      </c>
      <c r="AD72" s="24"/>
    </row>
    <row r="73" customFormat="false" ht="15" hidden="false" customHeight="false" outlineLevel="0" collapsed="false">
      <c r="A73" s="23"/>
      <c r="B73" s="24"/>
      <c r="C73" s="25"/>
      <c r="D73" s="25"/>
      <c r="E73" s="25"/>
      <c r="F73" s="24"/>
      <c r="G73" s="25"/>
      <c r="H73" s="25"/>
      <c r="I73" s="25"/>
      <c r="J73" s="25"/>
      <c r="K73" s="26"/>
      <c r="L73" s="26"/>
      <c r="M73" s="26"/>
      <c r="N73" s="26"/>
      <c r="O73" s="27" t="str">
        <f aca="false">IF(OR(N73="",N73=0),"",ROUND((K73+L73+M73)/N73,1))</f>
        <v/>
      </c>
      <c r="P73" s="27" t="str">
        <f aca="false">IF(OR(O73="",X73="Done",X73="Rejected"),"",COUNTIFS($O$5:$O$204,"&gt;"&amp;O73,$X$5:$X$204,"&lt;&gt;Done",$X$5:$X$204,"&lt;&gt;Rejected")+1)</f>
        <v/>
      </c>
      <c r="Q73" s="26"/>
      <c r="R73" s="26"/>
      <c r="S73" s="28" t="str">
        <f aca="false">IF(R73="","",R73*Settings!$B$5)</f>
        <v/>
      </c>
      <c r="T73" s="28" t="str">
        <f aca="false">IF(Q73="","",Q73*12*Settings!$B$5/8)</f>
        <v/>
      </c>
      <c r="U73" s="27" t="str">
        <f aca="false">IF(OR(S73="",T73="",T73=0),"",ROUND(S73/(T73/12),1))</f>
        <v/>
      </c>
      <c r="V73" s="29"/>
      <c r="W73" s="29"/>
      <c r="X73" s="25"/>
      <c r="Y73" s="25"/>
      <c r="Z73" s="30"/>
      <c r="AA73" s="30"/>
      <c r="AB73" s="27" t="str">
        <f aca="true">IF(Z73="","",IF(AA73="",TODAY(),AA73)-Z73)</f>
        <v/>
      </c>
      <c r="AC73" s="31" t="str">
        <f aca="false">IF(AB73="","",IF(AND(OR(X73="New",X73="Triaged"),AB73&gt;Settings!$B$9),"STALE",""))</f>
        <v/>
      </c>
      <c r="AD73" s="24"/>
    </row>
    <row r="74" customFormat="false" ht="15" hidden="false" customHeight="false" outlineLevel="0" collapsed="false">
      <c r="A74" s="23"/>
      <c r="B74" s="24"/>
      <c r="C74" s="25"/>
      <c r="D74" s="25"/>
      <c r="E74" s="25"/>
      <c r="F74" s="24"/>
      <c r="G74" s="25"/>
      <c r="H74" s="25"/>
      <c r="I74" s="25"/>
      <c r="J74" s="25"/>
      <c r="K74" s="26"/>
      <c r="L74" s="26"/>
      <c r="M74" s="26"/>
      <c r="N74" s="26"/>
      <c r="O74" s="27" t="str">
        <f aca="false">IF(OR(N74="",N74=0),"",ROUND((K74+L74+M74)/N74,1))</f>
        <v/>
      </c>
      <c r="P74" s="27" t="str">
        <f aca="false">IF(OR(O74="",X74="Done",X74="Rejected"),"",COUNTIFS($O$5:$O$204,"&gt;"&amp;O74,$X$5:$X$204,"&lt;&gt;Done",$X$5:$X$204,"&lt;&gt;Rejected")+1)</f>
        <v/>
      </c>
      <c r="Q74" s="26"/>
      <c r="R74" s="26"/>
      <c r="S74" s="28" t="str">
        <f aca="false">IF(R74="","",R74*Settings!$B$5)</f>
        <v/>
      </c>
      <c r="T74" s="28" t="str">
        <f aca="false">IF(Q74="","",Q74*12*Settings!$B$5/8)</f>
        <v/>
      </c>
      <c r="U74" s="27" t="str">
        <f aca="false">IF(OR(S74="",T74="",T74=0),"",ROUND(S74/(T74/12),1))</f>
        <v/>
      </c>
      <c r="V74" s="29"/>
      <c r="W74" s="29"/>
      <c r="X74" s="25"/>
      <c r="Y74" s="25"/>
      <c r="Z74" s="30"/>
      <c r="AA74" s="30"/>
      <c r="AB74" s="27" t="str">
        <f aca="true">IF(Z74="","",IF(AA74="",TODAY(),AA74)-Z74)</f>
        <v/>
      </c>
      <c r="AC74" s="31" t="str">
        <f aca="false">IF(AB74="","",IF(AND(OR(X74="New",X74="Triaged"),AB74&gt;Settings!$B$9),"STALE",""))</f>
        <v/>
      </c>
      <c r="AD74" s="24"/>
    </row>
    <row r="75" customFormat="false" ht="15" hidden="false" customHeight="false" outlineLevel="0" collapsed="false">
      <c r="A75" s="23"/>
      <c r="B75" s="24"/>
      <c r="C75" s="25"/>
      <c r="D75" s="25"/>
      <c r="E75" s="25"/>
      <c r="F75" s="24"/>
      <c r="G75" s="25"/>
      <c r="H75" s="25"/>
      <c r="I75" s="25"/>
      <c r="J75" s="25"/>
      <c r="K75" s="26"/>
      <c r="L75" s="26"/>
      <c r="M75" s="26"/>
      <c r="N75" s="26"/>
      <c r="O75" s="27" t="str">
        <f aca="false">IF(OR(N75="",N75=0),"",ROUND((K75+L75+M75)/N75,1))</f>
        <v/>
      </c>
      <c r="P75" s="27" t="str">
        <f aca="false">IF(OR(O75="",X75="Done",X75="Rejected"),"",COUNTIFS($O$5:$O$204,"&gt;"&amp;O75,$X$5:$X$204,"&lt;&gt;Done",$X$5:$X$204,"&lt;&gt;Rejected")+1)</f>
        <v/>
      </c>
      <c r="Q75" s="26"/>
      <c r="R75" s="26"/>
      <c r="S75" s="28" t="str">
        <f aca="false">IF(R75="","",R75*Settings!$B$5)</f>
        <v/>
      </c>
      <c r="T75" s="28" t="str">
        <f aca="false">IF(Q75="","",Q75*12*Settings!$B$5/8)</f>
        <v/>
      </c>
      <c r="U75" s="27" t="str">
        <f aca="false">IF(OR(S75="",T75="",T75=0),"",ROUND(S75/(T75/12),1))</f>
        <v/>
      </c>
      <c r="V75" s="29"/>
      <c r="W75" s="29"/>
      <c r="X75" s="25"/>
      <c r="Y75" s="25"/>
      <c r="Z75" s="30"/>
      <c r="AA75" s="30"/>
      <c r="AB75" s="27" t="str">
        <f aca="true">IF(Z75="","",IF(AA75="",TODAY(),AA75)-Z75)</f>
        <v/>
      </c>
      <c r="AC75" s="31" t="str">
        <f aca="false">IF(AB75="","",IF(AND(OR(X75="New",X75="Triaged"),AB75&gt;Settings!$B$9),"STALE",""))</f>
        <v/>
      </c>
      <c r="AD75" s="24"/>
    </row>
    <row r="76" customFormat="false" ht="15" hidden="false" customHeight="false" outlineLevel="0" collapsed="false">
      <c r="A76" s="23"/>
      <c r="B76" s="24"/>
      <c r="C76" s="25"/>
      <c r="D76" s="25"/>
      <c r="E76" s="25"/>
      <c r="F76" s="24"/>
      <c r="G76" s="25"/>
      <c r="H76" s="25"/>
      <c r="I76" s="25"/>
      <c r="J76" s="25"/>
      <c r="K76" s="26"/>
      <c r="L76" s="26"/>
      <c r="M76" s="26"/>
      <c r="N76" s="26"/>
      <c r="O76" s="27" t="str">
        <f aca="false">IF(OR(N76="",N76=0),"",ROUND((K76+L76+M76)/N76,1))</f>
        <v/>
      </c>
      <c r="P76" s="27" t="str">
        <f aca="false">IF(OR(O76="",X76="Done",X76="Rejected"),"",COUNTIFS($O$5:$O$204,"&gt;"&amp;O76,$X$5:$X$204,"&lt;&gt;Done",$X$5:$X$204,"&lt;&gt;Rejected")+1)</f>
        <v/>
      </c>
      <c r="Q76" s="26"/>
      <c r="R76" s="26"/>
      <c r="S76" s="28" t="str">
        <f aca="false">IF(R76="","",R76*Settings!$B$5)</f>
        <v/>
      </c>
      <c r="T76" s="28" t="str">
        <f aca="false">IF(Q76="","",Q76*12*Settings!$B$5/8)</f>
        <v/>
      </c>
      <c r="U76" s="27" t="str">
        <f aca="false">IF(OR(S76="",T76="",T76=0),"",ROUND(S76/(T76/12),1))</f>
        <v/>
      </c>
      <c r="V76" s="29"/>
      <c r="W76" s="29"/>
      <c r="X76" s="25"/>
      <c r="Y76" s="25"/>
      <c r="Z76" s="30"/>
      <c r="AA76" s="30"/>
      <c r="AB76" s="27" t="str">
        <f aca="true">IF(Z76="","",IF(AA76="",TODAY(),AA76)-Z76)</f>
        <v/>
      </c>
      <c r="AC76" s="31" t="str">
        <f aca="false">IF(AB76="","",IF(AND(OR(X76="New",X76="Triaged"),AB76&gt;Settings!$B$9),"STALE",""))</f>
        <v/>
      </c>
      <c r="AD76" s="24"/>
    </row>
    <row r="77" customFormat="false" ht="15" hidden="false" customHeight="false" outlineLevel="0" collapsed="false">
      <c r="A77" s="23"/>
      <c r="B77" s="24"/>
      <c r="C77" s="25"/>
      <c r="D77" s="25"/>
      <c r="E77" s="25"/>
      <c r="F77" s="24"/>
      <c r="G77" s="25"/>
      <c r="H77" s="25"/>
      <c r="I77" s="25"/>
      <c r="J77" s="25"/>
      <c r="K77" s="26"/>
      <c r="L77" s="26"/>
      <c r="M77" s="26"/>
      <c r="N77" s="26"/>
      <c r="O77" s="27" t="str">
        <f aca="false">IF(OR(N77="",N77=0),"",ROUND((K77+L77+M77)/N77,1))</f>
        <v/>
      </c>
      <c r="P77" s="27" t="str">
        <f aca="false">IF(OR(O77="",X77="Done",X77="Rejected"),"",COUNTIFS($O$5:$O$204,"&gt;"&amp;O77,$X$5:$X$204,"&lt;&gt;Done",$X$5:$X$204,"&lt;&gt;Rejected")+1)</f>
        <v/>
      </c>
      <c r="Q77" s="26"/>
      <c r="R77" s="26"/>
      <c r="S77" s="28" t="str">
        <f aca="false">IF(R77="","",R77*Settings!$B$5)</f>
        <v/>
      </c>
      <c r="T77" s="28" t="str">
        <f aca="false">IF(Q77="","",Q77*12*Settings!$B$5/8)</f>
        <v/>
      </c>
      <c r="U77" s="27" t="str">
        <f aca="false">IF(OR(S77="",T77="",T77=0),"",ROUND(S77/(T77/12),1))</f>
        <v/>
      </c>
      <c r="V77" s="29"/>
      <c r="W77" s="29"/>
      <c r="X77" s="25"/>
      <c r="Y77" s="25"/>
      <c r="Z77" s="30"/>
      <c r="AA77" s="30"/>
      <c r="AB77" s="27" t="str">
        <f aca="true">IF(Z77="","",IF(AA77="",TODAY(),AA77)-Z77)</f>
        <v/>
      </c>
      <c r="AC77" s="31" t="str">
        <f aca="false">IF(AB77="","",IF(AND(OR(X77="New",X77="Triaged"),AB77&gt;Settings!$B$9),"STALE",""))</f>
        <v/>
      </c>
      <c r="AD77" s="24"/>
    </row>
    <row r="78" customFormat="false" ht="15" hidden="false" customHeight="false" outlineLevel="0" collapsed="false">
      <c r="A78" s="23"/>
      <c r="B78" s="24"/>
      <c r="C78" s="25"/>
      <c r="D78" s="25"/>
      <c r="E78" s="25"/>
      <c r="F78" s="24"/>
      <c r="G78" s="25"/>
      <c r="H78" s="25"/>
      <c r="I78" s="25"/>
      <c r="J78" s="25"/>
      <c r="K78" s="26"/>
      <c r="L78" s="26"/>
      <c r="M78" s="26"/>
      <c r="N78" s="26"/>
      <c r="O78" s="27" t="str">
        <f aca="false">IF(OR(N78="",N78=0),"",ROUND((K78+L78+M78)/N78,1))</f>
        <v/>
      </c>
      <c r="P78" s="27" t="str">
        <f aca="false">IF(OR(O78="",X78="Done",X78="Rejected"),"",COUNTIFS($O$5:$O$204,"&gt;"&amp;O78,$X$5:$X$204,"&lt;&gt;Done",$X$5:$X$204,"&lt;&gt;Rejected")+1)</f>
        <v/>
      </c>
      <c r="Q78" s="26"/>
      <c r="R78" s="26"/>
      <c r="S78" s="28" t="str">
        <f aca="false">IF(R78="","",R78*Settings!$B$5)</f>
        <v/>
      </c>
      <c r="T78" s="28" t="str">
        <f aca="false">IF(Q78="","",Q78*12*Settings!$B$5/8)</f>
        <v/>
      </c>
      <c r="U78" s="27" t="str">
        <f aca="false">IF(OR(S78="",T78="",T78=0),"",ROUND(S78/(T78/12),1))</f>
        <v/>
      </c>
      <c r="V78" s="29"/>
      <c r="W78" s="29"/>
      <c r="X78" s="25"/>
      <c r="Y78" s="25"/>
      <c r="Z78" s="30"/>
      <c r="AA78" s="30"/>
      <c r="AB78" s="27" t="str">
        <f aca="true">IF(Z78="","",IF(AA78="",TODAY(),AA78)-Z78)</f>
        <v/>
      </c>
      <c r="AC78" s="31" t="str">
        <f aca="false">IF(AB78="","",IF(AND(OR(X78="New",X78="Triaged"),AB78&gt;Settings!$B$9),"STALE",""))</f>
        <v/>
      </c>
      <c r="AD78" s="24"/>
    </row>
    <row r="79" customFormat="false" ht="15" hidden="false" customHeight="false" outlineLevel="0" collapsed="false">
      <c r="A79" s="23"/>
      <c r="B79" s="24"/>
      <c r="C79" s="25"/>
      <c r="D79" s="25"/>
      <c r="E79" s="25"/>
      <c r="F79" s="24"/>
      <c r="G79" s="25"/>
      <c r="H79" s="25"/>
      <c r="I79" s="25"/>
      <c r="J79" s="25"/>
      <c r="K79" s="26"/>
      <c r="L79" s="26"/>
      <c r="M79" s="26"/>
      <c r="N79" s="26"/>
      <c r="O79" s="27" t="str">
        <f aca="false">IF(OR(N79="",N79=0),"",ROUND((K79+L79+M79)/N79,1))</f>
        <v/>
      </c>
      <c r="P79" s="27" t="str">
        <f aca="false">IF(OR(O79="",X79="Done",X79="Rejected"),"",COUNTIFS($O$5:$O$204,"&gt;"&amp;O79,$X$5:$X$204,"&lt;&gt;Done",$X$5:$X$204,"&lt;&gt;Rejected")+1)</f>
        <v/>
      </c>
      <c r="Q79" s="26"/>
      <c r="R79" s="26"/>
      <c r="S79" s="28" t="str">
        <f aca="false">IF(R79="","",R79*Settings!$B$5)</f>
        <v/>
      </c>
      <c r="T79" s="28" t="str">
        <f aca="false">IF(Q79="","",Q79*12*Settings!$B$5/8)</f>
        <v/>
      </c>
      <c r="U79" s="27" t="str">
        <f aca="false">IF(OR(S79="",T79="",T79=0),"",ROUND(S79/(T79/12),1))</f>
        <v/>
      </c>
      <c r="V79" s="29"/>
      <c r="W79" s="29"/>
      <c r="X79" s="25"/>
      <c r="Y79" s="25"/>
      <c r="Z79" s="30"/>
      <c r="AA79" s="30"/>
      <c r="AB79" s="27" t="str">
        <f aca="true">IF(Z79="","",IF(AA79="",TODAY(),AA79)-Z79)</f>
        <v/>
      </c>
      <c r="AC79" s="31" t="str">
        <f aca="false">IF(AB79="","",IF(AND(OR(X79="New",X79="Triaged"),AB79&gt;Settings!$B$9),"STALE",""))</f>
        <v/>
      </c>
      <c r="AD79" s="24"/>
    </row>
    <row r="80" customFormat="false" ht="15" hidden="false" customHeight="false" outlineLevel="0" collapsed="false">
      <c r="A80" s="23"/>
      <c r="B80" s="24"/>
      <c r="C80" s="25"/>
      <c r="D80" s="25"/>
      <c r="E80" s="25"/>
      <c r="F80" s="24"/>
      <c r="G80" s="25"/>
      <c r="H80" s="25"/>
      <c r="I80" s="25"/>
      <c r="J80" s="25"/>
      <c r="K80" s="26"/>
      <c r="L80" s="26"/>
      <c r="M80" s="26"/>
      <c r="N80" s="26"/>
      <c r="O80" s="27" t="str">
        <f aca="false">IF(OR(N80="",N80=0),"",ROUND((K80+L80+M80)/N80,1))</f>
        <v/>
      </c>
      <c r="P80" s="27" t="str">
        <f aca="false">IF(OR(O80="",X80="Done",X80="Rejected"),"",COUNTIFS($O$5:$O$204,"&gt;"&amp;O80,$X$5:$X$204,"&lt;&gt;Done",$X$5:$X$204,"&lt;&gt;Rejected")+1)</f>
        <v/>
      </c>
      <c r="Q80" s="26"/>
      <c r="R80" s="26"/>
      <c r="S80" s="28" t="str">
        <f aca="false">IF(R80="","",R80*Settings!$B$5)</f>
        <v/>
      </c>
      <c r="T80" s="28" t="str">
        <f aca="false">IF(Q80="","",Q80*12*Settings!$B$5/8)</f>
        <v/>
      </c>
      <c r="U80" s="27" t="str">
        <f aca="false">IF(OR(S80="",T80="",T80=0),"",ROUND(S80/(T80/12),1))</f>
        <v/>
      </c>
      <c r="V80" s="29"/>
      <c r="W80" s="29"/>
      <c r="X80" s="25"/>
      <c r="Y80" s="25"/>
      <c r="Z80" s="30"/>
      <c r="AA80" s="30"/>
      <c r="AB80" s="27" t="str">
        <f aca="true">IF(Z80="","",IF(AA80="",TODAY(),AA80)-Z80)</f>
        <v/>
      </c>
      <c r="AC80" s="31" t="str">
        <f aca="false">IF(AB80="","",IF(AND(OR(X80="New",X80="Triaged"),AB80&gt;Settings!$B$9),"STALE",""))</f>
        <v/>
      </c>
      <c r="AD80" s="24"/>
    </row>
    <row r="81" customFormat="false" ht="15" hidden="false" customHeight="false" outlineLevel="0" collapsed="false">
      <c r="A81" s="23"/>
      <c r="B81" s="24"/>
      <c r="C81" s="25"/>
      <c r="D81" s="25"/>
      <c r="E81" s="25"/>
      <c r="F81" s="24"/>
      <c r="G81" s="25"/>
      <c r="H81" s="25"/>
      <c r="I81" s="25"/>
      <c r="J81" s="25"/>
      <c r="K81" s="26"/>
      <c r="L81" s="26"/>
      <c r="M81" s="26"/>
      <c r="N81" s="26"/>
      <c r="O81" s="27" t="str">
        <f aca="false">IF(OR(N81="",N81=0),"",ROUND((K81+L81+M81)/N81,1))</f>
        <v/>
      </c>
      <c r="P81" s="27" t="str">
        <f aca="false">IF(OR(O81="",X81="Done",X81="Rejected"),"",COUNTIFS($O$5:$O$204,"&gt;"&amp;O81,$X$5:$X$204,"&lt;&gt;Done",$X$5:$X$204,"&lt;&gt;Rejected")+1)</f>
        <v/>
      </c>
      <c r="Q81" s="26"/>
      <c r="R81" s="26"/>
      <c r="S81" s="28" t="str">
        <f aca="false">IF(R81="","",R81*Settings!$B$5)</f>
        <v/>
      </c>
      <c r="T81" s="28" t="str">
        <f aca="false">IF(Q81="","",Q81*12*Settings!$B$5/8)</f>
        <v/>
      </c>
      <c r="U81" s="27" t="str">
        <f aca="false">IF(OR(S81="",T81="",T81=0),"",ROUND(S81/(T81/12),1))</f>
        <v/>
      </c>
      <c r="V81" s="29"/>
      <c r="W81" s="29"/>
      <c r="X81" s="25"/>
      <c r="Y81" s="25"/>
      <c r="Z81" s="30"/>
      <c r="AA81" s="30"/>
      <c r="AB81" s="27" t="str">
        <f aca="true">IF(Z81="","",IF(AA81="",TODAY(),AA81)-Z81)</f>
        <v/>
      </c>
      <c r="AC81" s="31" t="str">
        <f aca="false">IF(AB81="","",IF(AND(OR(X81="New",X81="Triaged"),AB81&gt;Settings!$B$9),"STALE",""))</f>
        <v/>
      </c>
      <c r="AD81" s="24"/>
    </row>
    <row r="82" customFormat="false" ht="15" hidden="false" customHeight="false" outlineLevel="0" collapsed="false">
      <c r="A82" s="23"/>
      <c r="B82" s="24"/>
      <c r="C82" s="25"/>
      <c r="D82" s="25"/>
      <c r="E82" s="25"/>
      <c r="F82" s="24"/>
      <c r="G82" s="25"/>
      <c r="H82" s="25"/>
      <c r="I82" s="25"/>
      <c r="J82" s="25"/>
      <c r="K82" s="26"/>
      <c r="L82" s="26"/>
      <c r="M82" s="26"/>
      <c r="N82" s="26"/>
      <c r="O82" s="27" t="str">
        <f aca="false">IF(OR(N82="",N82=0),"",ROUND((K82+L82+M82)/N82,1))</f>
        <v/>
      </c>
      <c r="P82" s="27" t="str">
        <f aca="false">IF(OR(O82="",X82="Done",X82="Rejected"),"",COUNTIFS($O$5:$O$204,"&gt;"&amp;O82,$X$5:$X$204,"&lt;&gt;Done",$X$5:$X$204,"&lt;&gt;Rejected")+1)</f>
        <v/>
      </c>
      <c r="Q82" s="26"/>
      <c r="R82" s="26"/>
      <c r="S82" s="28" t="str">
        <f aca="false">IF(R82="","",R82*Settings!$B$5)</f>
        <v/>
      </c>
      <c r="T82" s="28" t="str">
        <f aca="false">IF(Q82="","",Q82*12*Settings!$B$5/8)</f>
        <v/>
      </c>
      <c r="U82" s="27" t="str">
        <f aca="false">IF(OR(S82="",T82="",T82=0),"",ROUND(S82/(T82/12),1))</f>
        <v/>
      </c>
      <c r="V82" s="29"/>
      <c r="W82" s="29"/>
      <c r="X82" s="25"/>
      <c r="Y82" s="25"/>
      <c r="Z82" s="30"/>
      <c r="AA82" s="30"/>
      <c r="AB82" s="27" t="str">
        <f aca="true">IF(Z82="","",IF(AA82="",TODAY(),AA82)-Z82)</f>
        <v/>
      </c>
      <c r="AC82" s="31" t="str">
        <f aca="false">IF(AB82="","",IF(AND(OR(X82="New",X82="Triaged"),AB82&gt;Settings!$B$9),"STALE",""))</f>
        <v/>
      </c>
      <c r="AD82" s="24"/>
    </row>
    <row r="83" customFormat="false" ht="15" hidden="false" customHeight="false" outlineLevel="0" collapsed="false">
      <c r="A83" s="23"/>
      <c r="B83" s="24"/>
      <c r="C83" s="25"/>
      <c r="D83" s="25"/>
      <c r="E83" s="25"/>
      <c r="F83" s="24"/>
      <c r="G83" s="25"/>
      <c r="H83" s="25"/>
      <c r="I83" s="25"/>
      <c r="J83" s="25"/>
      <c r="K83" s="26"/>
      <c r="L83" s="26"/>
      <c r="M83" s="26"/>
      <c r="N83" s="26"/>
      <c r="O83" s="27" t="str">
        <f aca="false">IF(OR(N83="",N83=0),"",ROUND((K83+L83+M83)/N83,1))</f>
        <v/>
      </c>
      <c r="P83" s="27" t="str">
        <f aca="false">IF(OR(O83="",X83="Done",X83="Rejected"),"",COUNTIFS($O$5:$O$204,"&gt;"&amp;O83,$X$5:$X$204,"&lt;&gt;Done",$X$5:$X$204,"&lt;&gt;Rejected")+1)</f>
        <v/>
      </c>
      <c r="Q83" s="26"/>
      <c r="R83" s="26"/>
      <c r="S83" s="28" t="str">
        <f aca="false">IF(R83="","",R83*Settings!$B$5)</f>
        <v/>
      </c>
      <c r="T83" s="28" t="str">
        <f aca="false">IF(Q83="","",Q83*12*Settings!$B$5/8)</f>
        <v/>
      </c>
      <c r="U83" s="27" t="str">
        <f aca="false">IF(OR(S83="",T83="",T83=0),"",ROUND(S83/(T83/12),1))</f>
        <v/>
      </c>
      <c r="V83" s="29"/>
      <c r="W83" s="29"/>
      <c r="X83" s="25"/>
      <c r="Y83" s="25"/>
      <c r="Z83" s="30"/>
      <c r="AA83" s="30"/>
      <c r="AB83" s="27" t="str">
        <f aca="true">IF(Z83="","",IF(AA83="",TODAY(),AA83)-Z83)</f>
        <v/>
      </c>
      <c r="AC83" s="31" t="str">
        <f aca="false">IF(AB83="","",IF(AND(OR(X83="New",X83="Triaged"),AB83&gt;Settings!$B$9),"STALE",""))</f>
        <v/>
      </c>
      <c r="AD83" s="24"/>
    </row>
    <row r="84" customFormat="false" ht="15" hidden="false" customHeight="false" outlineLevel="0" collapsed="false">
      <c r="A84" s="23"/>
      <c r="B84" s="24"/>
      <c r="C84" s="25"/>
      <c r="D84" s="25"/>
      <c r="E84" s="25"/>
      <c r="F84" s="24"/>
      <c r="G84" s="25"/>
      <c r="H84" s="25"/>
      <c r="I84" s="25"/>
      <c r="J84" s="25"/>
      <c r="K84" s="26"/>
      <c r="L84" s="26"/>
      <c r="M84" s="26"/>
      <c r="N84" s="26"/>
      <c r="O84" s="27" t="str">
        <f aca="false">IF(OR(N84="",N84=0),"",ROUND((K84+L84+M84)/N84,1))</f>
        <v/>
      </c>
      <c r="P84" s="27" t="str">
        <f aca="false">IF(OR(O84="",X84="Done",X84="Rejected"),"",COUNTIFS($O$5:$O$204,"&gt;"&amp;O84,$X$5:$X$204,"&lt;&gt;Done",$X$5:$X$204,"&lt;&gt;Rejected")+1)</f>
        <v/>
      </c>
      <c r="Q84" s="26"/>
      <c r="R84" s="26"/>
      <c r="S84" s="28" t="str">
        <f aca="false">IF(R84="","",R84*Settings!$B$5)</f>
        <v/>
      </c>
      <c r="T84" s="28" t="str">
        <f aca="false">IF(Q84="","",Q84*12*Settings!$B$5/8)</f>
        <v/>
      </c>
      <c r="U84" s="27" t="str">
        <f aca="false">IF(OR(S84="",T84="",T84=0),"",ROUND(S84/(T84/12),1))</f>
        <v/>
      </c>
      <c r="V84" s="29"/>
      <c r="W84" s="29"/>
      <c r="X84" s="25"/>
      <c r="Y84" s="25"/>
      <c r="Z84" s="30"/>
      <c r="AA84" s="30"/>
      <c r="AB84" s="27" t="str">
        <f aca="true">IF(Z84="","",IF(AA84="",TODAY(),AA84)-Z84)</f>
        <v/>
      </c>
      <c r="AC84" s="31" t="str">
        <f aca="false">IF(AB84="","",IF(AND(OR(X84="New",X84="Triaged"),AB84&gt;Settings!$B$9),"STALE",""))</f>
        <v/>
      </c>
      <c r="AD84" s="24"/>
    </row>
    <row r="85" customFormat="false" ht="15" hidden="false" customHeight="false" outlineLevel="0" collapsed="false">
      <c r="A85" s="23"/>
      <c r="B85" s="24"/>
      <c r="C85" s="25"/>
      <c r="D85" s="25"/>
      <c r="E85" s="25"/>
      <c r="F85" s="24"/>
      <c r="G85" s="25"/>
      <c r="H85" s="25"/>
      <c r="I85" s="25"/>
      <c r="J85" s="25"/>
      <c r="K85" s="26"/>
      <c r="L85" s="26"/>
      <c r="M85" s="26"/>
      <c r="N85" s="26"/>
      <c r="O85" s="27" t="str">
        <f aca="false">IF(OR(N85="",N85=0),"",ROUND((K85+L85+M85)/N85,1))</f>
        <v/>
      </c>
      <c r="P85" s="27" t="str">
        <f aca="false">IF(OR(O85="",X85="Done",X85="Rejected"),"",COUNTIFS($O$5:$O$204,"&gt;"&amp;O85,$X$5:$X$204,"&lt;&gt;Done",$X$5:$X$204,"&lt;&gt;Rejected")+1)</f>
        <v/>
      </c>
      <c r="Q85" s="26"/>
      <c r="R85" s="26"/>
      <c r="S85" s="28" t="str">
        <f aca="false">IF(R85="","",R85*Settings!$B$5)</f>
        <v/>
      </c>
      <c r="T85" s="28" t="str">
        <f aca="false">IF(Q85="","",Q85*12*Settings!$B$5/8)</f>
        <v/>
      </c>
      <c r="U85" s="27" t="str">
        <f aca="false">IF(OR(S85="",T85="",T85=0),"",ROUND(S85/(T85/12),1))</f>
        <v/>
      </c>
      <c r="V85" s="29"/>
      <c r="W85" s="29"/>
      <c r="X85" s="25"/>
      <c r="Y85" s="25"/>
      <c r="Z85" s="30"/>
      <c r="AA85" s="30"/>
      <c r="AB85" s="27" t="str">
        <f aca="true">IF(Z85="","",IF(AA85="",TODAY(),AA85)-Z85)</f>
        <v/>
      </c>
      <c r="AC85" s="31" t="str">
        <f aca="false">IF(AB85="","",IF(AND(OR(X85="New",X85="Triaged"),AB85&gt;Settings!$B$9),"STALE",""))</f>
        <v/>
      </c>
      <c r="AD85" s="24"/>
    </row>
    <row r="86" customFormat="false" ht="15" hidden="false" customHeight="false" outlineLevel="0" collapsed="false">
      <c r="A86" s="23"/>
      <c r="B86" s="24"/>
      <c r="C86" s="25"/>
      <c r="D86" s="25"/>
      <c r="E86" s="25"/>
      <c r="F86" s="24"/>
      <c r="G86" s="25"/>
      <c r="H86" s="25"/>
      <c r="I86" s="25"/>
      <c r="J86" s="25"/>
      <c r="K86" s="26"/>
      <c r="L86" s="26"/>
      <c r="M86" s="26"/>
      <c r="N86" s="26"/>
      <c r="O86" s="27" t="str">
        <f aca="false">IF(OR(N86="",N86=0),"",ROUND((K86+L86+M86)/N86,1))</f>
        <v/>
      </c>
      <c r="P86" s="27" t="str">
        <f aca="false">IF(OR(O86="",X86="Done",X86="Rejected"),"",COUNTIFS($O$5:$O$204,"&gt;"&amp;O86,$X$5:$X$204,"&lt;&gt;Done",$X$5:$X$204,"&lt;&gt;Rejected")+1)</f>
        <v/>
      </c>
      <c r="Q86" s="26"/>
      <c r="R86" s="26"/>
      <c r="S86" s="28" t="str">
        <f aca="false">IF(R86="","",R86*Settings!$B$5)</f>
        <v/>
      </c>
      <c r="T86" s="28" t="str">
        <f aca="false">IF(Q86="","",Q86*12*Settings!$B$5/8)</f>
        <v/>
      </c>
      <c r="U86" s="27" t="str">
        <f aca="false">IF(OR(S86="",T86="",T86=0),"",ROUND(S86/(T86/12),1))</f>
        <v/>
      </c>
      <c r="V86" s="29"/>
      <c r="W86" s="29"/>
      <c r="X86" s="25"/>
      <c r="Y86" s="25"/>
      <c r="Z86" s="30"/>
      <c r="AA86" s="30"/>
      <c r="AB86" s="27" t="str">
        <f aca="true">IF(Z86="","",IF(AA86="",TODAY(),AA86)-Z86)</f>
        <v/>
      </c>
      <c r="AC86" s="31" t="str">
        <f aca="false">IF(AB86="","",IF(AND(OR(X86="New",X86="Triaged"),AB86&gt;Settings!$B$9),"STALE",""))</f>
        <v/>
      </c>
      <c r="AD86" s="24"/>
    </row>
    <row r="87" customFormat="false" ht="15" hidden="false" customHeight="false" outlineLevel="0" collapsed="false">
      <c r="A87" s="23"/>
      <c r="B87" s="24"/>
      <c r="C87" s="25"/>
      <c r="D87" s="25"/>
      <c r="E87" s="25"/>
      <c r="F87" s="24"/>
      <c r="G87" s="25"/>
      <c r="H87" s="25"/>
      <c r="I87" s="25"/>
      <c r="J87" s="25"/>
      <c r="K87" s="26"/>
      <c r="L87" s="26"/>
      <c r="M87" s="26"/>
      <c r="N87" s="26"/>
      <c r="O87" s="27" t="str">
        <f aca="false">IF(OR(N87="",N87=0),"",ROUND((K87+L87+M87)/N87,1))</f>
        <v/>
      </c>
      <c r="P87" s="27" t="str">
        <f aca="false">IF(OR(O87="",X87="Done",X87="Rejected"),"",COUNTIFS($O$5:$O$204,"&gt;"&amp;O87,$X$5:$X$204,"&lt;&gt;Done",$X$5:$X$204,"&lt;&gt;Rejected")+1)</f>
        <v/>
      </c>
      <c r="Q87" s="26"/>
      <c r="R87" s="26"/>
      <c r="S87" s="28" t="str">
        <f aca="false">IF(R87="","",R87*Settings!$B$5)</f>
        <v/>
      </c>
      <c r="T87" s="28" t="str">
        <f aca="false">IF(Q87="","",Q87*12*Settings!$B$5/8)</f>
        <v/>
      </c>
      <c r="U87" s="27" t="str">
        <f aca="false">IF(OR(S87="",T87="",T87=0),"",ROUND(S87/(T87/12),1))</f>
        <v/>
      </c>
      <c r="V87" s="29"/>
      <c r="W87" s="29"/>
      <c r="X87" s="25"/>
      <c r="Y87" s="25"/>
      <c r="Z87" s="30"/>
      <c r="AA87" s="30"/>
      <c r="AB87" s="27" t="str">
        <f aca="true">IF(Z87="","",IF(AA87="",TODAY(),AA87)-Z87)</f>
        <v/>
      </c>
      <c r="AC87" s="31" t="str">
        <f aca="false">IF(AB87="","",IF(AND(OR(X87="New",X87="Triaged"),AB87&gt;Settings!$B$9),"STALE",""))</f>
        <v/>
      </c>
      <c r="AD87" s="24"/>
    </row>
    <row r="88" customFormat="false" ht="15" hidden="false" customHeight="false" outlineLevel="0" collapsed="false">
      <c r="A88" s="23"/>
      <c r="B88" s="24"/>
      <c r="C88" s="25"/>
      <c r="D88" s="25"/>
      <c r="E88" s="25"/>
      <c r="F88" s="24"/>
      <c r="G88" s="25"/>
      <c r="H88" s="25"/>
      <c r="I88" s="25"/>
      <c r="J88" s="25"/>
      <c r="K88" s="26"/>
      <c r="L88" s="26"/>
      <c r="M88" s="26"/>
      <c r="N88" s="26"/>
      <c r="O88" s="27" t="str">
        <f aca="false">IF(OR(N88="",N88=0),"",ROUND((K88+L88+M88)/N88,1))</f>
        <v/>
      </c>
      <c r="P88" s="27" t="str">
        <f aca="false">IF(OR(O88="",X88="Done",X88="Rejected"),"",COUNTIFS($O$5:$O$204,"&gt;"&amp;O88,$X$5:$X$204,"&lt;&gt;Done",$X$5:$X$204,"&lt;&gt;Rejected")+1)</f>
        <v/>
      </c>
      <c r="Q88" s="26"/>
      <c r="R88" s="26"/>
      <c r="S88" s="28" t="str">
        <f aca="false">IF(R88="","",R88*Settings!$B$5)</f>
        <v/>
      </c>
      <c r="T88" s="28" t="str">
        <f aca="false">IF(Q88="","",Q88*12*Settings!$B$5/8)</f>
        <v/>
      </c>
      <c r="U88" s="27" t="str">
        <f aca="false">IF(OR(S88="",T88="",T88=0),"",ROUND(S88/(T88/12),1))</f>
        <v/>
      </c>
      <c r="V88" s="29"/>
      <c r="W88" s="29"/>
      <c r="X88" s="25"/>
      <c r="Y88" s="25"/>
      <c r="Z88" s="30"/>
      <c r="AA88" s="30"/>
      <c r="AB88" s="27" t="str">
        <f aca="true">IF(Z88="","",IF(AA88="",TODAY(),AA88)-Z88)</f>
        <v/>
      </c>
      <c r="AC88" s="31" t="str">
        <f aca="false">IF(AB88="","",IF(AND(OR(X88="New",X88="Triaged"),AB88&gt;Settings!$B$9),"STALE",""))</f>
        <v/>
      </c>
      <c r="AD88" s="24"/>
    </row>
    <row r="89" customFormat="false" ht="15" hidden="false" customHeight="false" outlineLevel="0" collapsed="false">
      <c r="A89" s="23"/>
      <c r="B89" s="24"/>
      <c r="C89" s="25"/>
      <c r="D89" s="25"/>
      <c r="E89" s="25"/>
      <c r="F89" s="24"/>
      <c r="G89" s="25"/>
      <c r="H89" s="25"/>
      <c r="I89" s="25"/>
      <c r="J89" s="25"/>
      <c r="K89" s="26"/>
      <c r="L89" s="26"/>
      <c r="M89" s="26"/>
      <c r="N89" s="26"/>
      <c r="O89" s="27" t="str">
        <f aca="false">IF(OR(N89="",N89=0),"",ROUND((K89+L89+M89)/N89,1))</f>
        <v/>
      </c>
      <c r="P89" s="27" t="str">
        <f aca="false">IF(OR(O89="",X89="Done",X89="Rejected"),"",COUNTIFS($O$5:$O$204,"&gt;"&amp;O89,$X$5:$X$204,"&lt;&gt;Done",$X$5:$X$204,"&lt;&gt;Rejected")+1)</f>
        <v/>
      </c>
      <c r="Q89" s="26"/>
      <c r="R89" s="26"/>
      <c r="S89" s="28" t="str">
        <f aca="false">IF(R89="","",R89*Settings!$B$5)</f>
        <v/>
      </c>
      <c r="T89" s="28" t="str">
        <f aca="false">IF(Q89="","",Q89*12*Settings!$B$5/8)</f>
        <v/>
      </c>
      <c r="U89" s="27" t="str">
        <f aca="false">IF(OR(S89="",T89="",T89=0),"",ROUND(S89/(T89/12),1))</f>
        <v/>
      </c>
      <c r="V89" s="29"/>
      <c r="W89" s="29"/>
      <c r="X89" s="25"/>
      <c r="Y89" s="25"/>
      <c r="Z89" s="30"/>
      <c r="AA89" s="30"/>
      <c r="AB89" s="27" t="str">
        <f aca="true">IF(Z89="","",IF(AA89="",TODAY(),AA89)-Z89)</f>
        <v/>
      </c>
      <c r="AC89" s="31" t="str">
        <f aca="false">IF(AB89="","",IF(AND(OR(X89="New",X89="Triaged"),AB89&gt;Settings!$B$9),"STALE",""))</f>
        <v/>
      </c>
      <c r="AD89" s="24"/>
    </row>
    <row r="90" customFormat="false" ht="15" hidden="false" customHeight="false" outlineLevel="0" collapsed="false">
      <c r="A90" s="23"/>
      <c r="B90" s="24"/>
      <c r="C90" s="25"/>
      <c r="D90" s="25"/>
      <c r="E90" s="25"/>
      <c r="F90" s="24"/>
      <c r="G90" s="25"/>
      <c r="H90" s="25"/>
      <c r="I90" s="25"/>
      <c r="J90" s="25"/>
      <c r="K90" s="26"/>
      <c r="L90" s="26"/>
      <c r="M90" s="26"/>
      <c r="N90" s="26"/>
      <c r="O90" s="27" t="str">
        <f aca="false">IF(OR(N90="",N90=0),"",ROUND((K90+L90+M90)/N90,1))</f>
        <v/>
      </c>
      <c r="P90" s="27" t="str">
        <f aca="false">IF(OR(O90="",X90="Done",X90="Rejected"),"",COUNTIFS($O$5:$O$204,"&gt;"&amp;O90,$X$5:$X$204,"&lt;&gt;Done",$X$5:$X$204,"&lt;&gt;Rejected")+1)</f>
        <v/>
      </c>
      <c r="Q90" s="26"/>
      <c r="R90" s="26"/>
      <c r="S90" s="28" t="str">
        <f aca="false">IF(R90="","",R90*Settings!$B$5)</f>
        <v/>
      </c>
      <c r="T90" s="28" t="str">
        <f aca="false">IF(Q90="","",Q90*12*Settings!$B$5/8)</f>
        <v/>
      </c>
      <c r="U90" s="27" t="str">
        <f aca="false">IF(OR(S90="",T90="",T90=0),"",ROUND(S90/(T90/12),1))</f>
        <v/>
      </c>
      <c r="V90" s="29"/>
      <c r="W90" s="29"/>
      <c r="X90" s="25"/>
      <c r="Y90" s="25"/>
      <c r="Z90" s="30"/>
      <c r="AA90" s="30"/>
      <c r="AB90" s="27" t="str">
        <f aca="true">IF(Z90="","",IF(AA90="",TODAY(),AA90)-Z90)</f>
        <v/>
      </c>
      <c r="AC90" s="31" t="str">
        <f aca="false">IF(AB90="","",IF(AND(OR(X90="New",X90="Triaged"),AB90&gt;Settings!$B$9),"STALE",""))</f>
        <v/>
      </c>
      <c r="AD90" s="24"/>
    </row>
    <row r="91" customFormat="false" ht="15" hidden="false" customHeight="false" outlineLevel="0" collapsed="false">
      <c r="A91" s="23"/>
      <c r="B91" s="24"/>
      <c r="C91" s="25"/>
      <c r="D91" s="25"/>
      <c r="E91" s="25"/>
      <c r="F91" s="24"/>
      <c r="G91" s="25"/>
      <c r="H91" s="25"/>
      <c r="I91" s="25"/>
      <c r="J91" s="25"/>
      <c r="K91" s="26"/>
      <c r="L91" s="26"/>
      <c r="M91" s="26"/>
      <c r="N91" s="26"/>
      <c r="O91" s="27" t="str">
        <f aca="false">IF(OR(N91="",N91=0),"",ROUND((K91+L91+M91)/N91,1))</f>
        <v/>
      </c>
      <c r="P91" s="27" t="str">
        <f aca="false">IF(OR(O91="",X91="Done",X91="Rejected"),"",COUNTIFS($O$5:$O$204,"&gt;"&amp;O91,$X$5:$X$204,"&lt;&gt;Done",$X$5:$X$204,"&lt;&gt;Rejected")+1)</f>
        <v/>
      </c>
      <c r="Q91" s="26"/>
      <c r="R91" s="26"/>
      <c r="S91" s="28" t="str">
        <f aca="false">IF(R91="","",R91*Settings!$B$5)</f>
        <v/>
      </c>
      <c r="T91" s="28" t="str">
        <f aca="false">IF(Q91="","",Q91*12*Settings!$B$5/8)</f>
        <v/>
      </c>
      <c r="U91" s="27" t="str">
        <f aca="false">IF(OR(S91="",T91="",T91=0),"",ROUND(S91/(T91/12),1))</f>
        <v/>
      </c>
      <c r="V91" s="29"/>
      <c r="W91" s="29"/>
      <c r="X91" s="25"/>
      <c r="Y91" s="25"/>
      <c r="Z91" s="30"/>
      <c r="AA91" s="30"/>
      <c r="AB91" s="27" t="str">
        <f aca="true">IF(Z91="","",IF(AA91="",TODAY(),AA91)-Z91)</f>
        <v/>
      </c>
      <c r="AC91" s="31" t="str">
        <f aca="false">IF(AB91="","",IF(AND(OR(X91="New",X91="Triaged"),AB91&gt;Settings!$B$9),"STALE",""))</f>
        <v/>
      </c>
      <c r="AD91" s="24"/>
    </row>
    <row r="92" customFormat="false" ht="15" hidden="false" customHeight="false" outlineLevel="0" collapsed="false">
      <c r="A92" s="23"/>
      <c r="B92" s="24"/>
      <c r="C92" s="25"/>
      <c r="D92" s="25"/>
      <c r="E92" s="25"/>
      <c r="F92" s="24"/>
      <c r="G92" s="25"/>
      <c r="H92" s="25"/>
      <c r="I92" s="25"/>
      <c r="J92" s="25"/>
      <c r="K92" s="26"/>
      <c r="L92" s="26"/>
      <c r="M92" s="26"/>
      <c r="N92" s="26"/>
      <c r="O92" s="27" t="str">
        <f aca="false">IF(OR(N92="",N92=0),"",ROUND((K92+L92+M92)/N92,1))</f>
        <v/>
      </c>
      <c r="P92" s="27" t="str">
        <f aca="false">IF(OR(O92="",X92="Done",X92="Rejected"),"",COUNTIFS($O$5:$O$204,"&gt;"&amp;O92,$X$5:$X$204,"&lt;&gt;Done",$X$5:$X$204,"&lt;&gt;Rejected")+1)</f>
        <v/>
      </c>
      <c r="Q92" s="26"/>
      <c r="R92" s="26"/>
      <c r="S92" s="28" t="str">
        <f aca="false">IF(R92="","",R92*Settings!$B$5)</f>
        <v/>
      </c>
      <c r="T92" s="28" t="str">
        <f aca="false">IF(Q92="","",Q92*12*Settings!$B$5/8)</f>
        <v/>
      </c>
      <c r="U92" s="27" t="str">
        <f aca="false">IF(OR(S92="",T92="",T92=0),"",ROUND(S92/(T92/12),1))</f>
        <v/>
      </c>
      <c r="V92" s="29"/>
      <c r="W92" s="29"/>
      <c r="X92" s="25"/>
      <c r="Y92" s="25"/>
      <c r="Z92" s="30"/>
      <c r="AA92" s="30"/>
      <c r="AB92" s="27" t="str">
        <f aca="true">IF(Z92="","",IF(AA92="",TODAY(),AA92)-Z92)</f>
        <v/>
      </c>
      <c r="AC92" s="31" t="str">
        <f aca="false">IF(AB92="","",IF(AND(OR(X92="New",X92="Triaged"),AB92&gt;Settings!$B$9),"STALE",""))</f>
        <v/>
      </c>
      <c r="AD92" s="24"/>
    </row>
    <row r="93" customFormat="false" ht="15" hidden="false" customHeight="false" outlineLevel="0" collapsed="false">
      <c r="A93" s="23"/>
      <c r="B93" s="24"/>
      <c r="C93" s="25"/>
      <c r="D93" s="25"/>
      <c r="E93" s="25"/>
      <c r="F93" s="24"/>
      <c r="G93" s="25"/>
      <c r="H93" s="25"/>
      <c r="I93" s="25"/>
      <c r="J93" s="25"/>
      <c r="K93" s="26"/>
      <c r="L93" s="26"/>
      <c r="M93" s="26"/>
      <c r="N93" s="26"/>
      <c r="O93" s="27" t="str">
        <f aca="false">IF(OR(N93="",N93=0),"",ROUND((K93+L93+M93)/N93,1))</f>
        <v/>
      </c>
      <c r="P93" s="27" t="str">
        <f aca="false">IF(OR(O93="",X93="Done",X93="Rejected"),"",COUNTIFS($O$5:$O$204,"&gt;"&amp;O93,$X$5:$X$204,"&lt;&gt;Done",$X$5:$X$204,"&lt;&gt;Rejected")+1)</f>
        <v/>
      </c>
      <c r="Q93" s="26"/>
      <c r="R93" s="26"/>
      <c r="S93" s="28" t="str">
        <f aca="false">IF(R93="","",R93*Settings!$B$5)</f>
        <v/>
      </c>
      <c r="T93" s="28" t="str">
        <f aca="false">IF(Q93="","",Q93*12*Settings!$B$5/8)</f>
        <v/>
      </c>
      <c r="U93" s="27" t="str">
        <f aca="false">IF(OR(S93="",T93="",T93=0),"",ROUND(S93/(T93/12),1))</f>
        <v/>
      </c>
      <c r="V93" s="29"/>
      <c r="W93" s="29"/>
      <c r="X93" s="25"/>
      <c r="Y93" s="25"/>
      <c r="Z93" s="30"/>
      <c r="AA93" s="30"/>
      <c r="AB93" s="27" t="str">
        <f aca="true">IF(Z93="","",IF(AA93="",TODAY(),AA93)-Z93)</f>
        <v/>
      </c>
      <c r="AC93" s="31" t="str">
        <f aca="false">IF(AB93="","",IF(AND(OR(X93="New",X93="Triaged"),AB93&gt;Settings!$B$9),"STALE",""))</f>
        <v/>
      </c>
      <c r="AD93" s="24"/>
    </row>
    <row r="94" customFormat="false" ht="15" hidden="false" customHeight="false" outlineLevel="0" collapsed="false">
      <c r="A94" s="23"/>
      <c r="B94" s="24"/>
      <c r="C94" s="25"/>
      <c r="D94" s="25"/>
      <c r="E94" s="25"/>
      <c r="F94" s="24"/>
      <c r="G94" s="25"/>
      <c r="H94" s="25"/>
      <c r="I94" s="25"/>
      <c r="J94" s="25"/>
      <c r="K94" s="26"/>
      <c r="L94" s="26"/>
      <c r="M94" s="26"/>
      <c r="N94" s="26"/>
      <c r="O94" s="27" t="str">
        <f aca="false">IF(OR(N94="",N94=0),"",ROUND((K94+L94+M94)/N94,1))</f>
        <v/>
      </c>
      <c r="P94" s="27" t="str">
        <f aca="false">IF(OR(O94="",X94="Done",X94="Rejected"),"",COUNTIFS($O$5:$O$204,"&gt;"&amp;O94,$X$5:$X$204,"&lt;&gt;Done",$X$5:$X$204,"&lt;&gt;Rejected")+1)</f>
        <v/>
      </c>
      <c r="Q94" s="26"/>
      <c r="R94" s="26"/>
      <c r="S94" s="28" t="str">
        <f aca="false">IF(R94="","",R94*Settings!$B$5)</f>
        <v/>
      </c>
      <c r="T94" s="28" t="str">
        <f aca="false">IF(Q94="","",Q94*12*Settings!$B$5/8)</f>
        <v/>
      </c>
      <c r="U94" s="27" t="str">
        <f aca="false">IF(OR(S94="",T94="",T94=0),"",ROUND(S94/(T94/12),1))</f>
        <v/>
      </c>
      <c r="V94" s="29"/>
      <c r="W94" s="29"/>
      <c r="X94" s="25"/>
      <c r="Y94" s="25"/>
      <c r="Z94" s="30"/>
      <c r="AA94" s="30"/>
      <c r="AB94" s="27" t="str">
        <f aca="true">IF(Z94="","",IF(AA94="",TODAY(),AA94)-Z94)</f>
        <v/>
      </c>
      <c r="AC94" s="31" t="str">
        <f aca="false">IF(AB94="","",IF(AND(OR(X94="New",X94="Triaged"),AB94&gt;Settings!$B$9),"STALE",""))</f>
        <v/>
      </c>
      <c r="AD94" s="24"/>
    </row>
    <row r="95" customFormat="false" ht="15" hidden="false" customHeight="false" outlineLevel="0" collapsed="false">
      <c r="A95" s="23"/>
      <c r="B95" s="24"/>
      <c r="C95" s="25"/>
      <c r="D95" s="25"/>
      <c r="E95" s="25"/>
      <c r="F95" s="24"/>
      <c r="G95" s="25"/>
      <c r="H95" s="25"/>
      <c r="I95" s="25"/>
      <c r="J95" s="25"/>
      <c r="K95" s="26"/>
      <c r="L95" s="26"/>
      <c r="M95" s="26"/>
      <c r="N95" s="26"/>
      <c r="O95" s="27" t="str">
        <f aca="false">IF(OR(N95="",N95=0),"",ROUND((K95+L95+M95)/N95,1))</f>
        <v/>
      </c>
      <c r="P95" s="27" t="str">
        <f aca="false">IF(OR(O95="",X95="Done",X95="Rejected"),"",COUNTIFS($O$5:$O$204,"&gt;"&amp;O95,$X$5:$X$204,"&lt;&gt;Done",$X$5:$X$204,"&lt;&gt;Rejected")+1)</f>
        <v/>
      </c>
      <c r="Q95" s="26"/>
      <c r="R95" s="26"/>
      <c r="S95" s="28" t="str">
        <f aca="false">IF(R95="","",R95*Settings!$B$5)</f>
        <v/>
      </c>
      <c r="T95" s="28" t="str">
        <f aca="false">IF(Q95="","",Q95*12*Settings!$B$5/8)</f>
        <v/>
      </c>
      <c r="U95" s="27" t="str">
        <f aca="false">IF(OR(S95="",T95="",T95=0),"",ROUND(S95/(T95/12),1))</f>
        <v/>
      </c>
      <c r="V95" s="29"/>
      <c r="W95" s="29"/>
      <c r="X95" s="25"/>
      <c r="Y95" s="25"/>
      <c r="Z95" s="30"/>
      <c r="AA95" s="30"/>
      <c r="AB95" s="27" t="str">
        <f aca="true">IF(Z95="","",IF(AA95="",TODAY(),AA95)-Z95)</f>
        <v/>
      </c>
      <c r="AC95" s="31" t="str">
        <f aca="false">IF(AB95="","",IF(AND(OR(X95="New",X95="Triaged"),AB95&gt;Settings!$B$9),"STALE",""))</f>
        <v/>
      </c>
      <c r="AD95" s="24"/>
    </row>
    <row r="96" customFormat="false" ht="15" hidden="false" customHeight="false" outlineLevel="0" collapsed="false">
      <c r="A96" s="23"/>
      <c r="B96" s="24"/>
      <c r="C96" s="25"/>
      <c r="D96" s="25"/>
      <c r="E96" s="25"/>
      <c r="F96" s="24"/>
      <c r="G96" s="25"/>
      <c r="H96" s="25"/>
      <c r="I96" s="25"/>
      <c r="J96" s="25"/>
      <c r="K96" s="26"/>
      <c r="L96" s="26"/>
      <c r="M96" s="26"/>
      <c r="N96" s="26"/>
      <c r="O96" s="27" t="str">
        <f aca="false">IF(OR(N96="",N96=0),"",ROUND((K96+L96+M96)/N96,1))</f>
        <v/>
      </c>
      <c r="P96" s="27" t="str">
        <f aca="false">IF(OR(O96="",X96="Done",X96="Rejected"),"",COUNTIFS($O$5:$O$204,"&gt;"&amp;O96,$X$5:$X$204,"&lt;&gt;Done",$X$5:$X$204,"&lt;&gt;Rejected")+1)</f>
        <v/>
      </c>
      <c r="Q96" s="26"/>
      <c r="R96" s="26"/>
      <c r="S96" s="28" t="str">
        <f aca="false">IF(R96="","",R96*Settings!$B$5)</f>
        <v/>
      </c>
      <c r="T96" s="28" t="str">
        <f aca="false">IF(Q96="","",Q96*12*Settings!$B$5/8)</f>
        <v/>
      </c>
      <c r="U96" s="27" t="str">
        <f aca="false">IF(OR(S96="",T96="",T96=0),"",ROUND(S96/(T96/12),1))</f>
        <v/>
      </c>
      <c r="V96" s="29"/>
      <c r="W96" s="29"/>
      <c r="X96" s="25"/>
      <c r="Y96" s="25"/>
      <c r="Z96" s="30"/>
      <c r="AA96" s="30"/>
      <c r="AB96" s="27" t="str">
        <f aca="true">IF(Z96="","",IF(AA96="",TODAY(),AA96)-Z96)</f>
        <v/>
      </c>
      <c r="AC96" s="31" t="str">
        <f aca="false">IF(AB96="","",IF(AND(OR(X96="New",X96="Triaged"),AB96&gt;Settings!$B$9),"STALE",""))</f>
        <v/>
      </c>
      <c r="AD96" s="24"/>
    </row>
    <row r="97" customFormat="false" ht="15" hidden="false" customHeight="false" outlineLevel="0" collapsed="false">
      <c r="A97" s="23"/>
      <c r="B97" s="24"/>
      <c r="C97" s="25"/>
      <c r="D97" s="25"/>
      <c r="E97" s="25"/>
      <c r="F97" s="24"/>
      <c r="G97" s="25"/>
      <c r="H97" s="25"/>
      <c r="I97" s="25"/>
      <c r="J97" s="25"/>
      <c r="K97" s="26"/>
      <c r="L97" s="26"/>
      <c r="M97" s="26"/>
      <c r="N97" s="26"/>
      <c r="O97" s="27" t="str">
        <f aca="false">IF(OR(N97="",N97=0),"",ROUND((K97+L97+M97)/N97,1))</f>
        <v/>
      </c>
      <c r="P97" s="27" t="str">
        <f aca="false">IF(OR(O97="",X97="Done",X97="Rejected"),"",COUNTIFS($O$5:$O$204,"&gt;"&amp;O97,$X$5:$X$204,"&lt;&gt;Done",$X$5:$X$204,"&lt;&gt;Rejected")+1)</f>
        <v/>
      </c>
      <c r="Q97" s="26"/>
      <c r="R97" s="26"/>
      <c r="S97" s="28" t="str">
        <f aca="false">IF(R97="","",R97*Settings!$B$5)</f>
        <v/>
      </c>
      <c r="T97" s="28" t="str">
        <f aca="false">IF(Q97="","",Q97*12*Settings!$B$5/8)</f>
        <v/>
      </c>
      <c r="U97" s="27" t="str">
        <f aca="false">IF(OR(S97="",T97="",T97=0),"",ROUND(S97/(T97/12),1))</f>
        <v/>
      </c>
      <c r="V97" s="29"/>
      <c r="W97" s="29"/>
      <c r="X97" s="25"/>
      <c r="Y97" s="25"/>
      <c r="Z97" s="30"/>
      <c r="AA97" s="30"/>
      <c r="AB97" s="27" t="str">
        <f aca="true">IF(Z97="","",IF(AA97="",TODAY(),AA97)-Z97)</f>
        <v/>
      </c>
      <c r="AC97" s="31" t="str">
        <f aca="false">IF(AB97="","",IF(AND(OR(X97="New",X97="Triaged"),AB97&gt;Settings!$B$9),"STALE",""))</f>
        <v/>
      </c>
      <c r="AD97" s="24"/>
    </row>
    <row r="98" customFormat="false" ht="15" hidden="false" customHeight="false" outlineLevel="0" collapsed="false">
      <c r="A98" s="23"/>
      <c r="B98" s="24"/>
      <c r="C98" s="25"/>
      <c r="D98" s="25"/>
      <c r="E98" s="25"/>
      <c r="F98" s="24"/>
      <c r="G98" s="25"/>
      <c r="H98" s="25"/>
      <c r="I98" s="25"/>
      <c r="J98" s="25"/>
      <c r="K98" s="26"/>
      <c r="L98" s="26"/>
      <c r="M98" s="26"/>
      <c r="N98" s="26"/>
      <c r="O98" s="27" t="str">
        <f aca="false">IF(OR(N98="",N98=0),"",ROUND((K98+L98+M98)/N98,1))</f>
        <v/>
      </c>
      <c r="P98" s="27" t="str">
        <f aca="false">IF(OR(O98="",X98="Done",X98="Rejected"),"",COUNTIFS($O$5:$O$204,"&gt;"&amp;O98,$X$5:$X$204,"&lt;&gt;Done",$X$5:$X$204,"&lt;&gt;Rejected")+1)</f>
        <v/>
      </c>
      <c r="Q98" s="26"/>
      <c r="R98" s="26"/>
      <c r="S98" s="28" t="str">
        <f aca="false">IF(R98="","",R98*Settings!$B$5)</f>
        <v/>
      </c>
      <c r="T98" s="28" t="str">
        <f aca="false">IF(Q98="","",Q98*12*Settings!$B$5/8)</f>
        <v/>
      </c>
      <c r="U98" s="27" t="str">
        <f aca="false">IF(OR(S98="",T98="",T98=0),"",ROUND(S98/(T98/12),1))</f>
        <v/>
      </c>
      <c r="V98" s="29"/>
      <c r="W98" s="29"/>
      <c r="X98" s="25"/>
      <c r="Y98" s="25"/>
      <c r="Z98" s="30"/>
      <c r="AA98" s="30"/>
      <c r="AB98" s="27" t="str">
        <f aca="true">IF(Z98="","",IF(AA98="",TODAY(),AA98)-Z98)</f>
        <v/>
      </c>
      <c r="AC98" s="31" t="str">
        <f aca="false">IF(AB98="","",IF(AND(OR(X98="New",X98="Triaged"),AB98&gt;Settings!$B$9),"STALE",""))</f>
        <v/>
      </c>
      <c r="AD98" s="24"/>
    </row>
    <row r="99" customFormat="false" ht="15" hidden="false" customHeight="false" outlineLevel="0" collapsed="false">
      <c r="A99" s="23"/>
      <c r="B99" s="24"/>
      <c r="C99" s="25"/>
      <c r="D99" s="25"/>
      <c r="E99" s="25"/>
      <c r="F99" s="24"/>
      <c r="G99" s="25"/>
      <c r="H99" s="25"/>
      <c r="I99" s="25"/>
      <c r="J99" s="25"/>
      <c r="K99" s="26"/>
      <c r="L99" s="26"/>
      <c r="M99" s="26"/>
      <c r="N99" s="26"/>
      <c r="O99" s="27" t="str">
        <f aca="false">IF(OR(N99="",N99=0),"",ROUND((K99+L99+M99)/N99,1))</f>
        <v/>
      </c>
      <c r="P99" s="27" t="str">
        <f aca="false">IF(OR(O99="",X99="Done",X99="Rejected"),"",COUNTIFS($O$5:$O$204,"&gt;"&amp;O99,$X$5:$X$204,"&lt;&gt;Done",$X$5:$X$204,"&lt;&gt;Rejected")+1)</f>
        <v/>
      </c>
      <c r="Q99" s="26"/>
      <c r="R99" s="26"/>
      <c r="S99" s="28" t="str">
        <f aca="false">IF(R99="","",R99*Settings!$B$5)</f>
        <v/>
      </c>
      <c r="T99" s="28" t="str">
        <f aca="false">IF(Q99="","",Q99*12*Settings!$B$5/8)</f>
        <v/>
      </c>
      <c r="U99" s="27" t="str">
        <f aca="false">IF(OR(S99="",T99="",T99=0),"",ROUND(S99/(T99/12),1))</f>
        <v/>
      </c>
      <c r="V99" s="29"/>
      <c r="W99" s="29"/>
      <c r="X99" s="25"/>
      <c r="Y99" s="25"/>
      <c r="Z99" s="30"/>
      <c r="AA99" s="30"/>
      <c r="AB99" s="27" t="str">
        <f aca="true">IF(Z99="","",IF(AA99="",TODAY(),AA99)-Z99)</f>
        <v/>
      </c>
      <c r="AC99" s="31" t="str">
        <f aca="false">IF(AB99="","",IF(AND(OR(X99="New",X99="Triaged"),AB99&gt;Settings!$B$9),"STALE",""))</f>
        <v/>
      </c>
      <c r="AD99" s="24"/>
    </row>
    <row r="100" customFormat="false" ht="15" hidden="false" customHeight="false" outlineLevel="0" collapsed="false">
      <c r="A100" s="23"/>
      <c r="B100" s="24"/>
      <c r="C100" s="25"/>
      <c r="D100" s="25"/>
      <c r="E100" s="25"/>
      <c r="F100" s="24"/>
      <c r="G100" s="25"/>
      <c r="H100" s="25"/>
      <c r="I100" s="25"/>
      <c r="J100" s="25"/>
      <c r="K100" s="26"/>
      <c r="L100" s="26"/>
      <c r="M100" s="26"/>
      <c r="N100" s="26"/>
      <c r="O100" s="27" t="str">
        <f aca="false">IF(OR(N100="",N100=0),"",ROUND((K100+L100+M100)/N100,1))</f>
        <v/>
      </c>
      <c r="P100" s="27" t="str">
        <f aca="false">IF(OR(O100="",X100="Done",X100="Rejected"),"",COUNTIFS($O$5:$O$204,"&gt;"&amp;O100,$X$5:$X$204,"&lt;&gt;Done",$X$5:$X$204,"&lt;&gt;Rejected")+1)</f>
        <v/>
      </c>
      <c r="Q100" s="26"/>
      <c r="R100" s="26"/>
      <c r="S100" s="28" t="str">
        <f aca="false">IF(R100="","",R100*Settings!$B$5)</f>
        <v/>
      </c>
      <c r="T100" s="28" t="str">
        <f aca="false">IF(Q100="","",Q100*12*Settings!$B$5/8)</f>
        <v/>
      </c>
      <c r="U100" s="27" t="str">
        <f aca="false">IF(OR(S100="",T100="",T100=0),"",ROUND(S100/(T100/12),1))</f>
        <v/>
      </c>
      <c r="V100" s="29"/>
      <c r="W100" s="29"/>
      <c r="X100" s="25"/>
      <c r="Y100" s="25"/>
      <c r="Z100" s="30"/>
      <c r="AA100" s="30"/>
      <c r="AB100" s="27" t="str">
        <f aca="true">IF(Z100="","",IF(AA100="",TODAY(),AA100)-Z100)</f>
        <v/>
      </c>
      <c r="AC100" s="31" t="str">
        <f aca="false">IF(AB100="","",IF(AND(OR(X100="New",X100="Triaged"),AB100&gt;Settings!$B$9),"STALE",""))</f>
        <v/>
      </c>
      <c r="AD100" s="24"/>
    </row>
    <row r="101" customFormat="false" ht="15" hidden="false" customHeight="false" outlineLevel="0" collapsed="false">
      <c r="A101" s="23"/>
      <c r="B101" s="24"/>
      <c r="C101" s="25"/>
      <c r="D101" s="25"/>
      <c r="E101" s="25"/>
      <c r="F101" s="24"/>
      <c r="G101" s="25"/>
      <c r="H101" s="25"/>
      <c r="I101" s="25"/>
      <c r="J101" s="25"/>
      <c r="K101" s="26"/>
      <c r="L101" s="26"/>
      <c r="M101" s="26"/>
      <c r="N101" s="26"/>
      <c r="O101" s="27" t="str">
        <f aca="false">IF(OR(N101="",N101=0),"",ROUND((K101+L101+M101)/N101,1))</f>
        <v/>
      </c>
      <c r="P101" s="27" t="str">
        <f aca="false">IF(OR(O101="",X101="Done",X101="Rejected"),"",COUNTIFS($O$5:$O$204,"&gt;"&amp;O101,$X$5:$X$204,"&lt;&gt;Done",$X$5:$X$204,"&lt;&gt;Rejected")+1)</f>
        <v/>
      </c>
      <c r="Q101" s="26"/>
      <c r="R101" s="26"/>
      <c r="S101" s="28" t="str">
        <f aca="false">IF(R101="","",R101*Settings!$B$5)</f>
        <v/>
      </c>
      <c r="T101" s="28" t="str">
        <f aca="false">IF(Q101="","",Q101*12*Settings!$B$5/8)</f>
        <v/>
      </c>
      <c r="U101" s="27" t="str">
        <f aca="false">IF(OR(S101="",T101="",T101=0),"",ROUND(S101/(T101/12),1))</f>
        <v/>
      </c>
      <c r="V101" s="29"/>
      <c r="W101" s="29"/>
      <c r="X101" s="25"/>
      <c r="Y101" s="25"/>
      <c r="Z101" s="30"/>
      <c r="AA101" s="30"/>
      <c r="AB101" s="27" t="str">
        <f aca="true">IF(Z101="","",IF(AA101="",TODAY(),AA101)-Z101)</f>
        <v/>
      </c>
      <c r="AC101" s="31" t="str">
        <f aca="false">IF(AB101="","",IF(AND(OR(X101="New",X101="Triaged"),AB101&gt;Settings!$B$9),"STALE",""))</f>
        <v/>
      </c>
      <c r="AD101" s="24"/>
    </row>
    <row r="102" customFormat="false" ht="15" hidden="false" customHeight="false" outlineLevel="0" collapsed="false">
      <c r="A102" s="23"/>
      <c r="B102" s="24"/>
      <c r="C102" s="25"/>
      <c r="D102" s="25"/>
      <c r="E102" s="25"/>
      <c r="F102" s="24"/>
      <c r="G102" s="25"/>
      <c r="H102" s="25"/>
      <c r="I102" s="25"/>
      <c r="J102" s="25"/>
      <c r="K102" s="26"/>
      <c r="L102" s="26"/>
      <c r="M102" s="26"/>
      <c r="N102" s="26"/>
      <c r="O102" s="27" t="str">
        <f aca="false">IF(OR(N102="",N102=0),"",ROUND((K102+L102+M102)/N102,1))</f>
        <v/>
      </c>
      <c r="P102" s="27" t="str">
        <f aca="false">IF(OR(O102="",X102="Done",X102="Rejected"),"",COUNTIFS($O$5:$O$204,"&gt;"&amp;O102,$X$5:$X$204,"&lt;&gt;Done",$X$5:$X$204,"&lt;&gt;Rejected")+1)</f>
        <v/>
      </c>
      <c r="Q102" s="26"/>
      <c r="R102" s="26"/>
      <c r="S102" s="28" t="str">
        <f aca="false">IF(R102="","",R102*Settings!$B$5)</f>
        <v/>
      </c>
      <c r="T102" s="28" t="str">
        <f aca="false">IF(Q102="","",Q102*12*Settings!$B$5/8)</f>
        <v/>
      </c>
      <c r="U102" s="27" t="str">
        <f aca="false">IF(OR(S102="",T102="",T102=0),"",ROUND(S102/(T102/12),1))</f>
        <v/>
      </c>
      <c r="V102" s="29"/>
      <c r="W102" s="29"/>
      <c r="X102" s="25"/>
      <c r="Y102" s="25"/>
      <c r="Z102" s="30"/>
      <c r="AA102" s="30"/>
      <c r="AB102" s="27" t="str">
        <f aca="true">IF(Z102="","",IF(AA102="",TODAY(),AA102)-Z102)</f>
        <v/>
      </c>
      <c r="AC102" s="31" t="str">
        <f aca="false">IF(AB102="","",IF(AND(OR(X102="New",X102="Triaged"),AB102&gt;Settings!$B$9),"STALE",""))</f>
        <v/>
      </c>
      <c r="AD102" s="24"/>
    </row>
    <row r="103" customFormat="false" ht="15" hidden="false" customHeight="false" outlineLevel="0" collapsed="false">
      <c r="A103" s="23"/>
      <c r="B103" s="24"/>
      <c r="C103" s="25"/>
      <c r="D103" s="25"/>
      <c r="E103" s="25"/>
      <c r="F103" s="24"/>
      <c r="G103" s="25"/>
      <c r="H103" s="25"/>
      <c r="I103" s="25"/>
      <c r="J103" s="25"/>
      <c r="K103" s="26"/>
      <c r="L103" s="26"/>
      <c r="M103" s="26"/>
      <c r="N103" s="26"/>
      <c r="O103" s="27" t="str">
        <f aca="false">IF(OR(N103="",N103=0),"",ROUND((K103+L103+M103)/N103,1))</f>
        <v/>
      </c>
      <c r="P103" s="27" t="str">
        <f aca="false">IF(OR(O103="",X103="Done",X103="Rejected"),"",COUNTIFS($O$5:$O$204,"&gt;"&amp;O103,$X$5:$X$204,"&lt;&gt;Done",$X$5:$X$204,"&lt;&gt;Rejected")+1)</f>
        <v/>
      </c>
      <c r="Q103" s="26"/>
      <c r="R103" s="26"/>
      <c r="S103" s="28" t="str">
        <f aca="false">IF(R103="","",R103*Settings!$B$5)</f>
        <v/>
      </c>
      <c r="T103" s="28" t="str">
        <f aca="false">IF(Q103="","",Q103*12*Settings!$B$5/8)</f>
        <v/>
      </c>
      <c r="U103" s="27" t="str">
        <f aca="false">IF(OR(S103="",T103="",T103=0),"",ROUND(S103/(T103/12),1))</f>
        <v/>
      </c>
      <c r="V103" s="29"/>
      <c r="W103" s="29"/>
      <c r="X103" s="25"/>
      <c r="Y103" s="25"/>
      <c r="Z103" s="30"/>
      <c r="AA103" s="30"/>
      <c r="AB103" s="27" t="str">
        <f aca="true">IF(Z103="","",IF(AA103="",TODAY(),AA103)-Z103)</f>
        <v/>
      </c>
      <c r="AC103" s="31" t="str">
        <f aca="false">IF(AB103="","",IF(AND(OR(X103="New",X103="Triaged"),AB103&gt;Settings!$B$9),"STALE",""))</f>
        <v/>
      </c>
      <c r="AD103" s="24"/>
    </row>
    <row r="104" customFormat="false" ht="15" hidden="false" customHeight="false" outlineLevel="0" collapsed="false">
      <c r="A104" s="23"/>
      <c r="B104" s="24"/>
      <c r="C104" s="25"/>
      <c r="D104" s="25"/>
      <c r="E104" s="25"/>
      <c r="F104" s="24"/>
      <c r="G104" s="25"/>
      <c r="H104" s="25"/>
      <c r="I104" s="25"/>
      <c r="J104" s="25"/>
      <c r="K104" s="26"/>
      <c r="L104" s="26"/>
      <c r="M104" s="26"/>
      <c r="N104" s="26"/>
      <c r="O104" s="27" t="str">
        <f aca="false">IF(OR(N104="",N104=0),"",ROUND((K104+L104+M104)/N104,1))</f>
        <v/>
      </c>
      <c r="P104" s="27" t="str">
        <f aca="false">IF(OR(O104="",X104="Done",X104="Rejected"),"",COUNTIFS($O$5:$O$204,"&gt;"&amp;O104,$X$5:$X$204,"&lt;&gt;Done",$X$5:$X$204,"&lt;&gt;Rejected")+1)</f>
        <v/>
      </c>
      <c r="Q104" s="26"/>
      <c r="R104" s="26"/>
      <c r="S104" s="28" t="str">
        <f aca="false">IF(R104="","",R104*Settings!$B$5)</f>
        <v/>
      </c>
      <c r="T104" s="28" t="str">
        <f aca="false">IF(Q104="","",Q104*12*Settings!$B$5/8)</f>
        <v/>
      </c>
      <c r="U104" s="27" t="str">
        <f aca="false">IF(OR(S104="",T104="",T104=0),"",ROUND(S104/(T104/12),1))</f>
        <v/>
      </c>
      <c r="V104" s="29"/>
      <c r="W104" s="29"/>
      <c r="X104" s="25"/>
      <c r="Y104" s="25"/>
      <c r="Z104" s="30"/>
      <c r="AA104" s="30"/>
      <c r="AB104" s="27" t="str">
        <f aca="true">IF(Z104="","",IF(AA104="",TODAY(),AA104)-Z104)</f>
        <v/>
      </c>
      <c r="AC104" s="31" t="str">
        <f aca="false">IF(AB104="","",IF(AND(OR(X104="New",X104="Triaged"),AB104&gt;Settings!$B$9),"STALE",""))</f>
        <v/>
      </c>
      <c r="AD104" s="24"/>
    </row>
    <row r="105" customFormat="false" ht="15" hidden="false" customHeight="false" outlineLevel="0" collapsed="false">
      <c r="A105" s="23"/>
      <c r="B105" s="24"/>
      <c r="C105" s="25"/>
      <c r="D105" s="25"/>
      <c r="E105" s="25"/>
      <c r="F105" s="24"/>
      <c r="G105" s="25"/>
      <c r="H105" s="25"/>
      <c r="I105" s="25"/>
      <c r="J105" s="25"/>
      <c r="K105" s="26"/>
      <c r="L105" s="26"/>
      <c r="M105" s="26"/>
      <c r="N105" s="26"/>
      <c r="O105" s="27" t="str">
        <f aca="false">IF(OR(N105="",N105=0),"",ROUND((K105+L105+M105)/N105,1))</f>
        <v/>
      </c>
      <c r="P105" s="27" t="str">
        <f aca="false">IF(OR(O105="",X105="Done",X105="Rejected"),"",COUNTIFS($O$5:$O$204,"&gt;"&amp;O105,$X$5:$X$204,"&lt;&gt;Done",$X$5:$X$204,"&lt;&gt;Rejected")+1)</f>
        <v/>
      </c>
      <c r="Q105" s="26"/>
      <c r="R105" s="26"/>
      <c r="S105" s="28" t="str">
        <f aca="false">IF(R105="","",R105*Settings!$B$5)</f>
        <v/>
      </c>
      <c r="T105" s="28" t="str">
        <f aca="false">IF(Q105="","",Q105*12*Settings!$B$5/8)</f>
        <v/>
      </c>
      <c r="U105" s="27" t="str">
        <f aca="false">IF(OR(S105="",T105="",T105=0),"",ROUND(S105/(T105/12),1))</f>
        <v/>
      </c>
      <c r="V105" s="29"/>
      <c r="W105" s="29"/>
      <c r="X105" s="25"/>
      <c r="Y105" s="25"/>
      <c r="Z105" s="30"/>
      <c r="AA105" s="30"/>
      <c r="AB105" s="27" t="str">
        <f aca="true">IF(Z105="","",IF(AA105="",TODAY(),AA105)-Z105)</f>
        <v/>
      </c>
      <c r="AC105" s="31" t="str">
        <f aca="false">IF(AB105="","",IF(AND(OR(X105="New",X105="Triaged"),AB105&gt;Settings!$B$9),"STALE",""))</f>
        <v/>
      </c>
      <c r="AD105" s="24"/>
    </row>
    <row r="106" customFormat="false" ht="15" hidden="false" customHeight="false" outlineLevel="0" collapsed="false">
      <c r="A106" s="23"/>
      <c r="B106" s="24"/>
      <c r="C106" s="25"/>
      <c r="D106" s="25"/>
      <c r="E106" s="25"/>
      <c r="F106" s="24"/>
      <c r="G106" s="25"/>
      <c r="H106" s="25"/>
      <c r="I106" s="25"/>
      <c r="J106" s="25"/>
      <c r="K106" s="26"/>
      <c r="L106" s="26"/>
      <c r="M106" s="26"/>
      <c r="N106" s="26"/>
      <c r="O106" s="27" t="str">
        <f aca="false">IF(OR(N106="",N106=0),"",ROUND((K106+L106+M106)/N106,1))</f>
        <v/>
      </c>
      <c r="P106" s="27" t="str">
        <f aca="false">IF(OR(O106="",X106="Done",X106="Rejected"),"",COUNTIFS($O$5:$O$204,"&gt;"&amp;O106,$X$5:$X$204,"&lt;&gt;Done",$X$5:$X$204,"&lt;&gt;Rejected")+1)</f>
        <v/>
      </c>
      <c r="Q106" s="26"/>
      <c r="R106" s="26"/>
      <c r="S106" s="28" t="str">
        <f aca="false">IF(R106="","",R106*Settings!$B$5)</f>
        <v/>
      </c>
      <c r="T106" s="28" t="str">
        <f aca="false">IF(Q106="","",Q106*12*Settings!$B$5/8)</f>
        <v/>
      </c>
      <c r="U106" s="27" t="str">
        <f aca="false">IF(OR(S106="",T106="",T106=0),"",ROUND(S106/(T106/12),1))</f>
        <v/>
      </c>
      <c r="V106" s="29"/>
      <c r="W106" s="29"/>
      <c r="X106" s="25"/>
      <c r="Y106" s="25"/>
      <c r="Z106" s="30"/>
      <c r="AA106" s="30"/>
      <c r="AB106" s="27" t="str">
        <f aca="true">IF(Z106="","",IF(AA106="",TODAY(),AA106)-Z106)</f>
        <v/>
      </c>
      <c r="AC106" s="31" t="str">
        <f aca="false">IF(AB106="","",IF(AND(OR(X106="New",X106="Triaged"),AB106&gt;Settings!$B$9),"STALE",""))</f>
        <v/>
      </c>
      <c r="AD106" s="24"/>
    </row>
    <row r="107" customFormat="false" ht="15" hidden="false" customHeight="false" outlineLevel="0" collapsed="false">
      <c r="A107" s="23"/>
      <c r="B107" s="24"/>
      <c r="C107" s="25"/>
      <c r="D107" s="25"/>
      <c r="E107" s="25"/>
      <c r="F107" s="24"/>
      <c r="G107" s="25"/>
      <c r="H107" s="25"/>
      <c r="I107" s="25"/>
      <c r="J107" s="25"/>
      <c r="K107" s="26"/>
      <c r="L107" s="26"/>
      <c r="M107" s="26"/>
      <c r="N107" s="26"/>
      <c r="O107" s="27" t="str">
        <f aca="false">IF(OR(N107="",N107=0),"",ROUND((K107+L107+M107)/N107,1))</f>
        <v/>
      </c>
      <c r="P107" s="27" t="str">
        <f aca="false">IF(OR(O107="",X107="Done",X107="Rejected"),"",COUNTIFS($O$5:$O$204,"&gt;"&amp;O107,$X$5:$X$204,"&lt;&gt;Done",$X$5:$X$204,"&lt;&gt;Rejected")+1)</f>
        <v/>
      </c>
      <c r="Q107" s="26"/>
      <c r="R107" s="26"/>
      <c r="S107" s="28" t="str">
        <f aca="false">IF(R107="","",R107*Settings!$B$5)</f>
        <v/>
      </c>
      <c r="T107" s="28" t="str">
        <f aca="false">IF(Q107="","",Q107*12*Settings!$B$5/8)</f>
        <v/>
      </c>
      <c r="U107" s="27" t="str">
        <f aca="false">IF(OR(S107="",T107="",T107=0),"",ROUND(S107/(T107/12),1))</f>
        <v/>
      </c>
      <c r="V107" s="29"/>
      <c r="W107" s="29"/>
      <c r="X107" s="25"/>
      <c r="Y107" s="25"/>
      <c r="Z107" s="30"/>
      <c r="AA107" s="30"/>
      <c r="AB107" s="27" t="str">
        <f aca="true">IF(Z107="","",IF(AA107="",TODAY(),AA107)-Z107)</f>
        <v/>
      </c>
      <c r="AC107" s="31" t="str">
        <f aca="false">IF(AB107="","",IF(AND(OR(X107="New",X107="Triaged"),AB107&gt;Settings!$B$9),"STALE",""))</f>
        <v/>
      </c>
      <c r="AD107" s="24"/>
    </row>
    <row r="108" customFormat="false" ht="15" hidden="false" customHeight="false" outlineLevel="0" collapsed="false">
      <c r="A108" s="23"/>
      <c r="B108" s="24"/>
      <c r="C108" s="25"/>
      <c r="D108" s="25"/>
      <c r="E108" s="25"/>
      <c r="F108" s="24"/>
      <c r="G108" s="25"/>
      <c r="H108" s="25"/>
      <c r="I108" s="25"/>
      <c r="J108" s="25"/>
      <c r="K108" s="26"/>
      <c r="L108" s="26"/>
      <c r="M108" s="26"/>
      <c r="N108" s="26"/>
      <c r="O108" s="27" t="str">
        <f aca="false">IF(OR(N108="",N108=0),"",ROUND((K108+L108+M108)/N108,1))</f>
        <v/>
      </c>
      <c r="P108" s="27" t="str">
        <f aca="false">IF(OR(O108="",X108="Done",X108="Rejected"),"",COUNTIFS($O$5:$O$204,"&gt;"&amp;O108,$X$5:$X$204,"&lt;&gt;Done",$X$5:$X$204,"&lt;&gt;Rejected")+1)</f>
        <v/>
      </c>
      <c r="Q108" s="26"/>
      <c r="R108" s="26"/>
      <c r="S108" s="28" t="str">
        <f aca="false">IF(R108="","",R108*Settings!$B$5)</f>
        <v/>
      </c>
      <c r="T108" s="28" t="str">
        <f aca="false">IF(Q108="","",Q108*12*Settings!$B$5/8)</f>
        <v/>
      </c>
      <c r="U108" s="27" t="str">
        <f aca="false">IF(OR(S108="",T108="",T108=0),"",ROUND(S108/(T108/12),1))</f>
        <v/>
      </c>
      <c r="V108" s="29"/>
      <c r="W108" s="29"/>
      <c r="X108" s="25"/>
      <c r="Y108" s="25"/>
      <c r="Z108" s="30"/>
      <c r="AA108" s="30"/>
      <c r="AB108" s="27" t="str">
        <f aca="true">IF(Z108="","",IF(AA108="",TODAY(),AA108)-Z108)</f>
        <v/>
      </c>
      <c r="AC108" s="31" t="str">
        <f aca="false">IF(AB108="","",IF(AND(OR(X108="New",X108="Triaged"),AB108&gt;Settings!$B$9),"STALE",""))</f>
        <v/>
      </c>
      <c r="AD108" s="24"/>
    </row>
    <row r="109" customFormat="false" ht="15" hidden="false" customHeight="false" outlineLevel="0" collapsed="false">
      <c r="A109" s="23"/>
      <c r="B109" s="24"/>
      <c r="C109" s="25"/>
      <c r="D109" s="25"/>
      <c r="E109" s="25"/>
      <c r="F109" s="24"/>
      <c r="G109" s="25"/>
      <c r="H109" s="25"/>
      <c r="I109" s="25"/>
      <c r="J109" s="25"/>
      <c r="K109" s="26"/>
      <c r="L109" s="26"/>
      <c r="M109" s="26"/>
      <c r="N109" s="26"/>
      <c r="O109" s="27" t="str">
        <f aca="false">IF(OR(N109="",N109=0),"",ROUND((K109+L109+M109)/N109,1))</f>
        <v/>
      </c>
      <c r="P109" s="27" t="str">
        <f aca="false">IF(OR(O109="",X109="Done",X109="Rejected"),"",COUNTIFS($O$5:$O$204,"&gt;"&amp;O109,$X$5:$X$204,"&lt;&gt;Done",$X$5:$X$204,"&lt;&gt;Rejected")+1)</f>
        <v/>
      </c>
      <c r="Q109" s="26"/>
      <c r="R109" s="26"/>
      <c r="S109" s="28" t="str">
        <f aca="false">IF(R109="","",R109*Settings!$B$5)</f>
        <v/>
      </c>
      <c r="T109" s="28" t="str">
        <f aca="false">IF(Q109="","",Q109*12*Settings!$B$5/8)</f>
        <v/>
      </c>
      <c r="U109" s="27" t="str">
        <f aca="false">IF(OR(S109="",T109="",T109=0),"",ROUND(S109/(T109/12),1))</f>
        <v/>
      </c>
      <c r="V109" s="29"/>
      <c r="W109" s="29"/>
      <c r="X109" s="25"/>
      <c r="Y109" s="25"/>
      <c r="Z109" s="30"/>
      <c r="AA109" s="30"/>
      <c r="AB109" s="27" t="str">
        <f aca="true">IF(Z109="","",IF(AA109="",TODAY(),AA109)-Z109)</f>
        <v/>
      </c>
      <c r="AC109" s="31" t="str">
        <f aca="false">IF(AB109="","",IF(AND(OR(X109="New",X109="Triaged"),AB109&gt;Settings!$B$9),"STALE",""))</f>
        <v/>
      </c>
      <c r="AD109" s="24"/>
    </row>
    <row r="110" customFormat="false" ht="15" hidden="false" customHeight="false" outlineLevel="0" collapsed="false">
      <c r="A110" s="23"/>
      <c r="B110" s="24"/>
      <c r="C110" s="25"/>
      <c r="D110" s="25"/>
      <c r="E110" s="25"/>
      <c r="F110" s="24"/>
      <c r="G110" s="25"/>
      <c r="H110" s="25"/>
      <c r="I110" s="25"/>
      <c r="J110" s="25"/>
      <c r="K110" s="26"/>
      <c r="L110" s="26"/>
      <c r="M110" s="26"/>
      <c r="N110" s="26"/>
      <c r="O110" s="27" t="str">
        <f aca="false">IF(OR(N110="",N110=0),"",ROUND((K110+L110+M110)/N110,1))</f>
        <v/>
      </c>
      <c r="P110" s="27" t="str">
        <f aca="false">IF(OR(O110="",X110="Done",X110="Rejected"),"",COUNTIFS($O$5:$O$204,"&gt;"&amp;O110,$X$5:$X$204,"&lt;&gt;Done",$X$5:$X$204,"&lt;&gt;Rejected")+1)</f>
        <v/>
      </c>
      <c r="Q110" s="26"/>
      <c r="R110" s="26"/>
      <c r="S110" s="28" t="str">
        <f aca="false">IF(R110="","",R110*Settings!$B$5)</f>
        <v/>
      </c>
      <c r="T110" s="28" t="str">
        <f aca="false">IF(Q110="","",Q110*12*Settings!$B$5/8)</f>
        <v/>
      </c>
      <c r="U110" s="27" t="str">
        <f aca="false">IF(OR(S110="",T110="",T110=0),"",ROUND(S110/(T110/12),1))</f>
        <v/>
      </c>
      <c r="V110" s="29"/>
      <c r="W110" s="29"/>
      <c r="X110" s="25"/>
      <c r="Y110" s="25"/>
      <c r="Z110" s="30"/>
      <c r="AA110" s="30"/>
      <c r="AB110" s="27" t="str">
        <f aca="true">IF(Z110="","",IF(AA110="",TODAY(),AA110)-Z110)</f>
        <v/>
      </c>
      <c r="AC110" s="31" t="str">
        <f aca="false">IF(AB110="","",IF(AND(OR(X110="New",X110="Triaged"),AB110&gt;Settings!$B$9),"STALE",""))</f>
        <v/>
      </c>
      <c r="AD110" s="24"/>
    </row>
    <row r="111" customFormat="false" ht="15" hidden="false" customHeight="false" outlineLevel="0" collapsed="false">
      <c r="A111" s="23"/>
      <c r="B111" s="24"/>
      <c r="C111" s="25"/>
      <c r="D111" s="25"/>
      <c r="E111" s="25"/>
      <c r="F111" s="24"/>
      <c r="G111" s="25"/>
      <c r="H111" s="25"/>
      <c r="I111" s="25"/>
      <c r="J111" s="25"/>
      <c r="K111" s="26"/>
      <c r="L111" s="26"/>
      <c r="M111" s="26"/>
      <c r="N111" s="26"/>
      <c r="O111" s="27" t="str">
        <f aca="false">IF(OR(N111="",N111=0),"",ROUND((K111+L111+M111)/N111,1))</f>
        <v/>
      </c>
      <c r="P111" s="27" t="str">
        <f aca="false">IF(OR(O111="",X111="Done",X111="Rejected"),"",COUNTIFS($O$5:$O$204,"&gt;"&amp;O111,$X$5:$X$204,"&lt;&gt;Done",$X$5:$X$204,"&lt;&gt;Rejected")+1)</f>
        <v/>
      </c>
      <c r="Q111" s="26"/>
      <c r="R111" s="26"/>
      <c r="S111" s="28" t="str">
        <f aca="false">IF(R111="","",R111*Settings!$B$5)</f>
        <v/>
      </c>
      <c r="T111" s="28" t="str">
        <f aca="false">IF(Q111="","",Q111*12*Settings!$B$5/8)</f>
        <v/>
      </c>
      <c r="U111" s="27" t="str">
        <f aca="false">IF(OR(S111="",T111="",T111=0),"",ROUND(S111/(T111/12),1))</f>
        <v/>
      </c>
      <c r="V111" s="29"/>
      <c r="W111" s="29"/>
      <c r="X111" s="25"/>
      <c r="Y111" s="25"/>
      <c r="Z111" s="30"/>
      <c r="AA111" s="30"/>
      <c r="AB111" s="27" t="str">
        <f aca="true">IF(Z111="","",IF(AA111="",TODAY(),AA111)-Z111)</f>
        <v/>
      </c>
      <c r="AC111" s="31" t="str">
        <f aca="false">IF(AB111="","",IF(AND(OR(X111="New",X111="Triaged"),AB111&gt;Settings!$B$9),"STALE",""))</f>
        <v/>
      </c>
      <c r="AD111" s="24"/>
    </row>
    <row r="112" customFormat="false" ht="15" hidden="false" customHeight="false" outlineLevel="0" collapsed="false">
      <c r="A112" s="23"/>
      <c r="B112" s="24"/>
      <c r="C112" s="25"/>
      <c r="D112" s="25"/>
      <c r="E112" s="25"/>
      <c r="F112" s="24"/>
      <c r="G112" s="25"/>
      <c r="H112" s="25"/>
      <c r="I112" s="25"/>
      <c r="J112" s="25"/>
      <c r="K112" s="26"/>
      <c r="L112" s="26"/>
      <c r="M112" s="26"/>
      <c r="N112" s="26"/>
      <c r="O112" s="27" t="str">
        <f aca="false">IF(OR(N112="",N112=0),"",ROUND((K112+L112+M112)/N112,1))</f>
        <v/>
      </c>
      <c r="P112" s="27" t="str">
        <f aca="false">IF(OR(O112="",X112="Done",X112="Rejected"),"",COUNTIFS($O$5:$O$204,"&gt;"&amp;O112,$X$5:$X$204,"&lt;&gt;Done",$X$5:$X$204,"&lt;&gt;Rejected")+1)</f>
        <v/>
      </c>
      <c r="Q112" s="26"/>
      <c r="R112" s="26"/>
      <c r="S112" s="28" t="str">
        <f aca="false">IF(R112="","",R112*Settings!$B$5)</f>
        <v/>
      </c>
      <c r="T112" s="28" t="str">
        <f aca="false">IF(Q112="","",Q112*12*Settings!$B$5/8)</f>
        <v/>
      </c>
      <c r="U112" s="27" t="str">
        <f aca="false">IF(OR(S112="",T112="",T112=0),"",ROUND(S112/(T112/12),1))</f>
        <v/>
      </c>
      <c r="V112" s="29"/>
      <c r="W112" s="29"/>
      <c r="X112" s="25"/>
      <c r="Y112" s="25"/>
      <c r="Z112" s="30"/>
      <c r="AA112" s="30"/>
      <c r="AB112" s="27" t="str">
        <f aca="true">IF(Z112="","",IF(AA112="",TODAY(),AA112)-Z112)</f>
        <v/>
      </c>
      <c r="AC112" s="31" t="str">
        <f aca="false">IF(AB112="","",IF(AND(OR(X112="New",X112="Triaged"),AB112&gt;Settings!$B$9),"STALE",""))</f>
        <v/>
      </c>
      <c r="AD112" s="24"/>
    </row>
    <row r="113" customFormat="false" ht="15" hidden="false" customHeight="false" outlineLevel="0" collapsed="false">
      <c r="A113" s="23"/>
      <c r="B113" s="24"/>
      <c r="C113" s="25"/>
      <c r="D113" s="25"/>
      <c r="E113" s="25"/>
      <c r="F113" s="24"/>
      <c r="G113" s="25"/>
      <c r="H113" s="25"/>
      <c r="I113" s="25"/>
      <c r="J113" s="25"/>
      <c r="K113" s="26"/>
      <c r="L113" s="26"/>
      <c r="M113" s="26"/>
      <c r="N113" s="26"/>
      <c r="O113" s="27" t="str">
        <f aca="false">IF(OR(N113="",N113=0),"",ROUND((K113+L113+M113)/N113,1))</f>
        <v/>
      </c>
      <c r="P113" s="27" t="str">
        <f aca="false">IF(OR(O113="",X113="Done",X113="Rejected"),"",COUNTIFS($O$5:$O$204,"&gt;"&amp;O113,$X$5:$X$204,"&lt;&gt;Done",$X$5:$X$204,"&lt;&gt;Rejected")+1)</f>
        <v/>
      </c>
      <c r="Q113" s="26"/>
      <c r="R113" s="26"/>
      <c r="S113" s="28" t="str">
        <f aca="false">IF(R113="","",R113*Settings!$B$5)</f>
        <v/>
      </c>
      <c r="T113" s="28" t="str">
        <f aca="false">IF(Q113="","",Q113*12*Settings!$B$5/8)</f>
        <v/>
      </c>
      <c r="U113" s="27" t="str">
        <f aca="false">IF(OR(S113="",T113="",T113=0),"",ROUND(S113/(T113/12),1))</f>
        <v/>
      </c>
      <c r="V113" s="29"/>
      <c r="W113" s="29"/>
      <c r="X113" s="25"/>
      <c r="Y113" s="25"/>
      <c r="Z113" s="30"/>
      <c r="AA113" s="30"/>
      <c r="AB113" s="27" t="str">
        <f aca="true">IF(Z113="","",IF(AA113="",TODAY(),AA113)-Z113)</f>
        <v/>
      </c>
      <c r="AC113" s="31" t="str">
        <f aca="false">IF(AB113="","",IF(AND(OR(X113="New",X113="Triaged"),AB113&gt;Settings!$B$9),"STALE",""))</f>
        <v/>
      </c>
      <c r="AD113" s="24"/>
    </row>
    <row r="114" customFormat="false" ht="15" hidden="false" customHeight="false" outlineLevel="0" collapsed="false">
      <c r="A114" s="23"/>
      <c r="B114" s="24"/>
      <c r="C114" s="25"/>
      <c r="D114" s="25"/>
      <c r="E114" s="25"/>
      <c r="F114" s="24"/>
      <c r="G114" s="25"/>
      <c r="H114" s="25"/>
      <c r="I114" s="25"/>
      <c r="J114" s="25"/>
      <c r="K114" s="26"/>
      <c r="L114" s="26"/>
      <c r="M114" s="26"/>
      <c r="N114" s="26"/>
      <c r="O114" s="27" t="str">
        <f aca="false">IF(OR(N114="",N114=0),"",ROUND((K114+L114+M114)/N114,1))</f>
        <v/>
      </c>
      <c r="P114" s="27" t="str">
        <f aca="false">IF(OR(O114="",X114="Done",X114="Rejected"),"",COUNTIFS($O$5:$O$204,"&gt;"&amp;O114,$X$5:$X$204,"&lt;&gt;Done",$X$5:$X$204,"&lt;&gt;Rejected")+1)</f>
        <v/>
      </c>
      <c r="Q114" s="26"/>
      <c r="R114" s="26"/>
      <c r="S114" s="28" t="str">
        <f aca="false">IF(R114="","",R114*Settings!$B$5)</f>
        <v/>
      </c>
      <c r="T114" s="28" t="str">
        <f aca="false">IF(Q114="","",Q114*12*Settings!$B$5/8)</f>
        <v/>
      </c>
      <c r="U114" s="27" t="str">
        <f aca="false">IF(OR(S114="",T114="",T114=0),"",ROUND(S114/(T114/12),1))</f>
        <v/>
      </c>
      <c r="V114" s="29"/>
      <c r="W114" s="29"/>
      <c r="X114" s="25"/>
      <c r="Y114" s="25"/>
      <c r="Z114" s="30"/>
      <c r="AA114" s="30"/>
      <c r="AB114" s="27" t="str">
        <f aca="true">IF(Z114="","",IF(AA114="",TODAY(),AA114)-Z114)</f>
        <v/>
      </c>
      <c r="AC114" s="31" t="str">
        <f aca="false">IF(AB114="","",IF(AND(OR(X114="New",X114="Triaged"),AB114&gt;Settings!$B$9),"STALE",""))</f>
        <v/>
      </c>
      <c r="AD114" s="24"/>
    </row>
    <row r="115" customFormat="false" ht="15" hidden="false" customHeight="false" outlineLevel="0" collapsed="false">
      <c r="A115" s="23"/>
      <c r="B115" s="24"/>
      <c r="C115" s="25"/>
      <c r="D115" s="25"/>
      <c r="E115" s="25"/>
      <c r="F115" s="24"/>
      <c r="G115" s="25"/>
      <c r="H115" s="25"/>
      <c r="I115" s="25"/>
      <c r="J115" s="25"/>
      <c r="K115" s="26"/>
      <c r="L115" s="26"/>
      <c r="M115" s="26"/>
      <c r="N115" s="26"/>
      <c r="O115" s="27" t="str">
        <f aca="false">IF(OR(N115="",N115=0),"",ROUND((K115+L115+M115)/N115,1))</f>
        <v/>
      </c>
      <c r="P115" s="27" t="str">
        <f aca="false">IF(OR(O115="",X115="Done",X115="Rejected"),"",COUNTIFS($O$5:$O$204,"&gt;"&amp;O115,$X$5:$X$204,"&lt;&gt;Done",$X$5:$X$204,"&lt;&gt;Rejected")+1)</f>
        <v/>
      </c>
      <c r="Q115" s="26"/>
      <c r="R115" s="26"/>
      <c r="S115" s="28" t="str">
        <f aca="false">IF(R115="","",R115*Settings!$B$5)</f>
        <v/>
      </c>
      <c r="T115" s="28" t="str">
        <f aca="false">IF(Q115="","",Q115*12*Settings!$B$5/8)</f>
        <v/>
      </c>
      <c r="U115" s="27" t="str">
        <f aca="false">IF(OR(S115="",T115="",T115=0),"",ROUND(S115/(T115/12),1))</f>
        <v/>
      </c>
      <c r="V115" s="29"/>
      <c r="W115" s="29"/>
      <c r="X115" s="25"/>
      <c r="Y115" s="25"/>
      <c r="Z115" s="30"/>
      <c r="AA115" s="30"/>
      <c r="AB115" s="27" t="str">
        <f aca="true">IF(Z115="","",IF(AA115="",TODAY(),AA115)-Z115)</f>
        <v/>
      </c>
      <c r="AC115" s="31" t="str">
        <f aca="false">IF(AB115="","",IF(AND(OR(X115="New",X115="Triaged"),AB115&gt;Settings!$B$9),"STALE",""))</f>
        <v/>
      </c>
      <c r="AD115" s="24"/>
    </row>
    <row r="116" customFormat="false" ht="15" hidden="false" customHeight="false" outlineLevel="0" collapsed="false">
      <c r="A116" s="23"/>
      <c r="B116" s="24"/>
      <c r="C116" s="25"/>
      <c r="D116" s="25"/>
      <c r="E116" s="25"/>
      <c r="F116" s="24"/>
      <c r="G116" s="25"/>
      <c r="H116" s="25"/>
      <c r="I116" s="25"/>
      <c r="J116" s="25"/>
      <c r="K116" s="26"/>
      <c r="L116" s="26"/>
      <c r="M116" s="26"/>
      <c r="N116" s="26"/>
      <c r="O116" s="27" t="str">
        <f aca="false">IF(OR(N116="",N116=0),"",ROUND((K116+L116+M116)/N116,1))</f>
        <v/>
      </c>
      <c r="P116" s="27" t="str">
        <f aca="false">IF(OR(O116="",X116="Done",X116="Rejected"),"",COUNTIFS($O$5:$O$204,"&gt;"&amp;O116,$X$5:$X$204,"&lt;&gt;Done",$X$5:$X$204,"&lt;&gt;Rejected")+1)</f>
        <v/>
      </c>
      <c r="Q116" s="26"/>
      <c r="R116" s="26"/>
      <c r="S116" s="28" t="str">
        <f aca="false">IF(R116="","",R116*Settings!$B$5)</f>
        <v/>
      </c>
      <c r="T116" s="28" t="str">
        <f aca="false">IF(Q116="","",Q116*12*Settings!$B$5/8)</f>
        <v/>
      </c>
      <c r="U116" s="27" t="str">
        <f aca="false">IF(OR(S116="",T116="",T116=0),"",ROUND(S116/(T116/12),1))</f>
        <v/>
      </c>
      <c r="V116" s="29"/>
      <c r="W116" s="29"/>
      <c r="X116" s="25"/>
      <c r="Y116" s="25"/>
      <c r="Z116" s="30"/>
      <c r="AA116" s="30"/>
      <c r="AB116" s="27" t="str">
        <f aca="true">IF(Z116="","",IF(AA116="",TODAY(),AA116)-Z116)</f>
        <v/>
      </c>
      <c r="AC116" s="31" t="str">
        <f aca="false">IF(AB116="","",IF(AND(OR(X116="New",X116="Triaged"),AB116&gt;Settings!$B$9),"STALE",""))</f>
        <v/>
      </c>
      <c r="AD116" s="24"/>
    </row>
    <row r="117" customFormat="false" ht="15" hidden="false" customHeight="false" outlineLevel="0" collapsed="false">
      <c r="A117" s="23"/>
      <c r="B117" s="24"/>
      <c r="C117" s="25"/>
      <c r="D117" s="25"/>
      <c r="E117" s="25"/>
      <c r="F117" s="24"/>
      <c r="G117" s="25"/>
      <c r="H117" s="25"/>
      <c r="I117" s="25"/>
      <c r="J117" s="25"/>
      <c r="K117" s="26"/>
      <c r="L117" s="26"/>
      <c r="M117" s="26"/>
      <c r="N117" s="26"/>
      <c r="O117" s="27" t="str">
        <f aca="false">IF(OR(N117="",N117=0),"",ROUND((K117+L117+M117)/N117,1))</f>
        <v/>
      </c>
      <c r="P117" s="27" t="str">
        <f aca="false">IF(OR(O117="",X117="Done",X117="Rejected"),"",COUNTIFS($O$5:$O$204,"&gt;"&amp;O117,$X$5:$X$204,"&lt;&gt;Done",$X$5:$X$204,"&lt;&gt;Rejected")+1)</f>
        <v/>
      </c>
      <c r="Q117" s="26"/>
      <c r="R117" s="26"/>
      <c r="S117" s="28" t="str">
        <f aca="false">IF(R117="","",R117*Settings!$B$5)</f>
        <v/>
      </c>
      <c r="T117" s="28" t="str">
        <f aca="false">IF(Q117="","",Q117*12*Settings!$B$5/8)</f>
        <v/>
      </c>
      <c r="U117" s="27" t="str">
        <f aca="false">IF(OR(S117="",T117="",T117=0),"",ROUND(S117/(T117/12),1))</f>
        <v/>
      </c>
      <c r="V117" s="29"/>
      <c r="W117" s="29"/>
      <c r="X117" s="25"/>
      <c r="Y117" s="25"/>
      <c r="Z117" s="30"/>
      <c r="AA117" s="30"/>
      <c r="AB117" s="27" t="str">
        <f aca="true">IF(Z117="","",IF(AA117="",TODAY(),AA117)-Z117)</f>
        <v/>
      </c>
      <c r="AC117" s="31" t="str">
        <f aca="false">IF(AB117="","",IF(AND(OR(X117="New",X117="Triaged"),AB117&gt;Settings!$B$9),"STALE",""))</f>
        <v/>
      </c>
      <c r="AD117" s="24"/>
    </row>
    <row r="118" customFormat="false" ht="15" hidden="false" customHeight="false" outlineLevel="0" collapsed="false">
      <c r="A118" s="23"/>
      <c r="B118" s="24"/>
      <c r="C118" s="25"/>
      <c r="D118" s="25"/>
      <c r="E118" s="25"/>
      <c r="F118" s="24"/>
      <c r="G118" s="25"/>
      <c r="H118" s="25"/>
      <c r="I118" s="25"/>
      <c r="J118" s="25"/>
      <c r="K118" s="26"/>
      <c r="L118" s="26"/>
      <c r="M118" s="26"/>
      <c r="N118" s="26"/>
      <c r="O118" s="27" t="str">
        <f aca="false">IF(OR(N118="",N118=0),"",ROUND((K118+L118+M118)/N118,1))</f>
        <v/>
      </c>
      <c r="P118" s="27" t="str">
        <f aca="false">IF(OR(O118="",X118="Done",X118="Rejected"),"",COUNTIFS($O$5:$O$204,"&gt;"&amp;O118,$X$5:$X$204,"&lt;&gt;Done",$X$5:$X$204,"&lt;&gt;Rejected")+1)</f>
        <v/>
      </c>
      <c r="Q118" s="26"/>
      <c r="R118" s="26"/>
      <c r="S118" s="28" t="str">
        <f aca="false">IF(R118="","",R118*Settings!$B$5)</f>
        <v/>
      </c>
      <c r="T118" s="28" t="str">
        <f aca="false">IF(Q118="","",Q118*12*Settings!$B$5/8)</f>
        <v/>
      </c>
      <c r="U118" s="27" t="str">
        <f aca="false">IF(OR(S118="",T118="",T118=0),"",ROUND(S118/(T118/12),1))</f>
        <v/>
      </c>
      <c r="V118" s="29"/>
      <c r="W118" s="29"/>
      <c r="X118" s="25"/>
      <c r="Y118" s="25"/>
      <c r="Z118" s="30"/>
      <c r="AA118" s="30"/>
      <c r="AB118" s="27" t="str">
        <f aca="true">IF(Z118="","",IF(AA118="",TODAY(),AA118)-Z118)</f>
        <v/>
      </c>
      <c r="AC118" s="31" t="str">
        <f aca="false">IF(AB118="","",IF(AND(OR(X118="New",X118="Triaged"),AB118&gt;Settings!$B$9),"STALE",""))</f>
        <v/>
      </c>
      <c r="AD118" s="24"/>
    </row>
    <row r="119" customFormat="false" ht="15" hidden="false" customHeight="false" outlineLevel="0" collapsed="false">
      <c r="A119" s="23"/>
      <c r="B119" s="24"/>
      <c r="C119" s="25"/>
      <c r="D119" s="25"/>
      <c r="E119" s="25"/>
      <c r="F119" s="24"/>
      <c r="G119" s="25"/>
      <c r="H119" s="25"/>
      <c r="I119" s="25"/>
      <c r="J119" s="25"/>
      <c r="K119" s="26"/>
      <c r="L119" s="26"/>
      <c r="M119" s="26"/>
      <c r="N119" s="26"/>
      <c r="O119" s="27" t="str">
        <f aca="false">IF(OR(N119="",N119=0),"",ROUND((K119+L119+M119)/N119,1))</f>
        <v/>
      </c>
      <c r="P119" s="27" t="str">
        <f aca="false">IF(OR(O119="",X119="Done",X119="Rejected"),"",COUNTIFS($O$5:$O$204,"&gt;"&amp;O119,$X$5:$X$204,"&lt;&gt;Done",$X$5:$X$204,"&lt;&gt;Rejected")+1)</f>
        <v/>
      </c>
      <c r="Q119" s="26"/>
      <c r="R119" s="26"/>
      <c r="S119" s="28" t="str">
        <f aca="false">IF(R119="","",R119*Settings!$B$5)</f>
        <v/>
      </c>
      <c r="T119" s="28" t="str">
        <f aca="false">IF(Q119="","",Q119*12*Settings!$B$5/8)</f>
        <v/>
      </c>
      <c r="U119" s="27" t="str">
        <f aca="false">IF(OR(S119="",T119="",T119=0),"",ROUND(S119/(T119/12),1))</f>
        <v/>
      </c>
      <c r="V119" s="29"/>
      <c r="W119" s="29"/>
      <c r="X119" s="25"/>
      <c r="Y119" s="25"/>
      <c r="Z119" s="30"/>
      <c r="AA119" s="30"/>
      <c r="AB119" s="27" t="str">
        <f aca="true">IF(Z119="","",IF(AA119="",TODAY(),AA119)-Z119)</f>
        <v/>
      </c>
      <c r="AC119" s="31" t="str">
        <f aca="false">IF(AB119="","",IF(AND(OR(X119="New",X119="Triaged"),AB119&gt;Settings!$B$9),"STALE",""))</f>
        <v/>
      </c>
      <c r="AD119" s="24"/>
    </row>
    <row r="120" customFormat="false" ht="15" hidden="false" customHeight="false" outlineLevel="0" collapsed="false">
      <c r="A120" s="23"/>
      <c r="B120" s="24"/>
      <c r="C120" s="25"/>
      <c r="D120" s="25"/>
      <c r="E120" s="25"/>
      <c r="F120" s="24"/>
      <c r="G120" s="25"/>
      <c r="H120" s="25"/>
      <c r="I120" s="25"/>
      <c r="J120" s="25"/>
      <c r="K120" s="26"/>
      <c r="L120" s="26"/>
      <c r="M120" s="26"/>
      <c r="N120" s="26"/>
      <c r="O120" s="27" t="str">
        <f aca="false">IF(OR(N120="",N120=0),"",ROUND((K120+L120+M120)/N120,1))</f>
        <v/>
      </c>
      <c r="P120" s="27" t="str">
        <f aca="false">IF(OR(O120="",X120="Done",X120="Rejected"),"",COUNTIFS($O$5:$O$204,"&gt;"&amp;O120,$X$5:$X$204,"&lt;&gt;Done",$X$5:$X$204,"&lt;&gt;Rejected")+1)</f>
        <v/>
      </c>
      <c r="Q120" s="26"/>
      <c r="R120" s="26"/>
      <c r="S120" s="28" t="str">
        <f aca="false">IF(R120="","",R120*Settings!$B$5)</f>
        <v/>
      </c>
      <c r="T120" s="28" t="str">
        <f aca="false">IF(Q120="","",Q120*12*Settings!$B$5/8)</f>
        <v/>
      </c>
      <c r="U120" s="27" t="str">
        <f aca="false">IF(OR(S120="",T120="",T120=0),"",ROUND(S120/(T120/12),1))</f>
        <v/>
      </c>
      <c r="V120" s="29"/>
      <c r="W120" s="29"/>
      <c r="X120" s="25"/>
      <c r="Y120" s="25"/>
      <c r="Z120" s="30"/>
      <c r="AA120" s="30"/>
      <c r="AB120" s="27" t="str">
        <f aca="true">IF(Z120="","",IF(AA120="",TODAY(),AA120)-Z120)</f>
        <v/>
      </c>
      <c r="AC120" s="31" t="str">
        <f aca="false">IF(AB120="","",IF(AND(OR(X120="New",X120="Triaged"),AB120&gt;Settings!$B$9),"STALE",""))</f>
        <v/>
      </c>
      <c r="AD120" s="24"/>
    </row>
    <row r="121" customFormat="false" ht="15" hidden="false" customHeight="false" outlineLevel="0" collapsed="false">
      <c r="A121" s="23"/>
      <c r="B121" s="24"/>
      <c r="C121" s="25"/>
      <c r="D121" s="25"/>
      <c r="E121" s="25"/>
      <c r="F121" s="24"/>
      <c r="G121" s="25"/>
      <c r="H121" s="25"/>
      <c r="I121" s="25"/>
      <c r="J121" s="25"/>
      <c r="K121" s="26"/>
      <c r="L121" s="26"/>
      <c r="M121" s="26"/>
      <c r="N121" s="26"/>
      <c r="O121" s="27" t="str">
        <f aca="false">IF(OR(N121="",N121=0),"",ROUND((K121+L121+M121)/N121,1))</f>
        <v/>
      </c>
      <c r="P121" s="27" t="str">
        <f aca="false">IF(OR(O121="",X121="Done",X121="Rejected"),"",COUNTIFS($O$5:$O$204,"&gt;"&amp;O121,$X$5:$X$204,"&lt;&gt;Done",$X$5:$X$204,"&lt;&gt;Rejected")+1)</f>
        <v/>
      </c>
      <c r="Q121" s="26"/>
      <c r="R121" s="26"/>
      <c r="S121" s="28" t="str">
        <f aca="false">IF(R121="","",R121*Settings!$B$5)</f>
        <v/>
      </c>
      <c r="T121" s="28" t="str">
        <f aca="false">IF(Q121="","",Q121*12*Settings!$B$5/8)</f>
        <v/>
      </c>
      <c r="U121" s="27" t="str">
        <f aca="false">IF(OR(S121="",T121="",T121=0),"",ROUND(S121/(T121/12),1))</f>
        <v/>
      </c>
      <c r="V121" s="29"/>
      <c r="W121" s="29"/>
      <c r="X121" s="25"/>
      <c r="Y121" s="25"/>
      <c r="Z121" s="30"/>
      <c r="AA121" s="30"/>
      <c r="AB121" s="27" t="str">
        <f aca="true">IF(Z121="","",IF(AA121="",TODAY(),AA121)-Z121)</f>
        <v/>
      </c>
      <c r="AC121" s="31" t="str">
        <f aca="false">IF(AB121="","",IF(AND(OR(X121="New",X121="Triaged"),AB121&gt;Settings!$B$9),"STALE",""))</f>
        <v/>
      </c>
      <c r="AD121" s="24"/>
    </row>
    <row r="122" customFormat="false" ht="15" hidden="false" customHeight="false" outlineLevel="0" collapsed="false">
      <c r="A122" s="23"/>
      <c r="B122" s="24"/>
      <c r="C122" s="25"/>
      <c r="D122" s="25"/>
      <c r="E122" s="25"/>
      <c r="F122" s="24"/>
      <c r="G122" s="25"/>
      <c r="H122" s="25"/>
      <c r="I122" s="25"/>
      <c r="J122" s="25"/>
      <c r="K122" s="26"/>
      <c r="L122" s="26"/>
      <c r="M122" s="26"/>
      <c r="N122" s="26"/>
      <c r="O122" s="27" t="str">
        <f aca="false">IF(OR(N122="",N122=0),"",ROUND((K122+L122+M122)/N122,1))</f>
        <v/>
      </c>
      <c r="P122" s="27" t="str">
        <f aca="false">IF(OR(O122="",X122="Done",X122="Rejected"),"",COUNTIFS($O$5:$O$204,"&gt;"&amp;O122,$X$5:$X$204,"&lt;&gt;Done",$X$5:$X$204,"&lt;&gt;Rejected")+1)</f>
        <v/>
      </c>
      <c r="Q122" s="26"/>
      <c r="R122" s="26"/>
      <c r="S122" s="28" t="str">
        <f aca="false">IF(R122="","",R122*Settings!$B$5)</f>
        <v/>
      </c>
      <c r="T122" s="28" t="str">
        <f aca="false">IF(Q122="","",Q122*12*Settings!$B$5/8)</f>
        <v/>
      </c>
      <c r="U122" s="27" t="str">
        <f aca="false">IF(OR(S122="",T122="",T122=0),"",ROUND(S122/(T122/12),1))</f>
        <v/>
      </c>
      <c r="V122" s="29"/>
      <c r="W122" s="29"/>
      <c r="X122" s="25"/>
      <c r="Y122" s="25"/>
      <c r="Z122" s="30"/>
      <c r="AA122" s="30"/>
      <c r="AB122" s="27" t="str">
        <f aca="true">IF(Z122="","",IF(AA122="",TODAY(),AA122)-Z122)</f>
        <v/>
      </c>
      <c r="AC122" s="31" t="str">
        <f aca="false">IF(AB122="","",IF(AND(OR(X122="New",X122="Triaged"),AB122&gt;Settings!$B$9),"STALE",""))</f>
        <v/>
      </c>
      <c r="AD122" s="24"/>
    </row>
    <row r="123" customFormat="false" ht="15" hidden="false" customHeight="false" outlineLevel="0" collapsed="false">
      <c r="A123" s="23"/>
      <c r="B123" s="24"/>
      <c r="C123" s="25"/>
      <c r="D123" s="25"/>
      <c r="E123" s="25"/>
      <c r="F123" s="24"/>
      <c r="G123" s="25"/>
      <c r="H123" s="25"/>
      <c r="I123" s="25"/>
      <c r="J123" s="25"/>
      <c r="K123" s="26"/>
      <c r="L123" s="26"/>
      <c r="M123" s="26"/>
      <c r="N123" s="26"/>
      <c r="O123" s="27" t="str">
        <f aca="false">IF(OR(N123="",N123=0),"",ROUND((K123+L123+M123)/N123,1))</f>
        <v/>
      </c>
      <c r="P123" s="27" t="str">
        <f aca="false">IF(OR(O123="",X123="Done",X123="Rejected"),"",COUNTIFS($O$5:$O$204,"&gt;"&amp;O123,$X$5:$X$204,"&lt;&gt;Done",$X$5:$X$204,"&lt;&gt;Rejected")+1)</f>
        <v/>
      </c>
      <c r="Q123" s="26"/>
      <c r="R123" s="26"/>
      <c r="S123" s="28" t="str">
        <f aca="false">IF(R123="","",R123*Settings!$B$5)</f>
        <v/>
      </c>
      <c r="T123" s="28" t="str">
        <f aca="false">IF(Q123="","",Q123*12*Settings!$B$5/8)</f>
        <v/>
      </c>
      <c r="U123" s="27" t="str">
        <f aca="false">IF(OR(S123="",T123="",T123=0),"",ROUND(S123/(T123/12),1))</f>
        <v/>
      </c>
      <c r="V123" s="29"/>
      <c r="W123" s="29"/>
      <c r="X123" s="25"/>
      <c r="Y123" s="25"/>
      <c r="Z123" s="30"/>
      <c r="AA123" s="30"/>
      <c r="AB123" s="27" t="str">
        <f aca="true">IF(Z123="","",IF(AA123="",TODAY(),AA123)-Z123)</f>
        <v/>
      </c>
      <c r="AC123" s="31" t="str">
        <f aca="false">IF(AB123="","",IF(AND(OR(X123="New",X123="Triaged"),AB123&gt;Settings!$B$9),"STALE",""))</f>
        <v/>
      </c>
      <c r="AD123" s="24"/>
    </row>
    <row r="124" customFormat="false" ht="15" hidden="false" customHeight="false" outlineLevel="0" collapsed="false">
      <c r="A124" s="23"/>
      <c r="B124" s="24"/>
      <c r="C124" s="25"/>
      <c r="D124" s="25"/>
      <c r="E124" s="25"/>
      <c r="F124" s="24"/>
      <c r="G124" s="25"/>
      <c r="H124" s="25"/>
      <c r="I124" s="25"/>
      <c r="J124" s="25"/>
      <c r="K124" s="26"/>
      <c r="L124" s="26"/>
      <c r="M124" s="26"/>
      <c r="N124" s="26"/>
      <c r="O124" s="27" t="str">
        <f aca="false">IF(OR(N124="",N124=0),"",ROUND((K124+L124+M124)/N124,1))</f>
        <v/>
      </c>
      <c r="P124" s="27" t="str">
        <f aca="false">IF(OR(O124="",X124="Done",X124="Rejected"),"",COUNTIFS($O$5:$O$204,"&gt;"&amp;O124,$X$5:$X$204,"&lt;&gt;Done",$X$5:$X$204,"&lt;&gt;Rejected")+1)</f>
        <v/>
      </c>
      <c r="Q124" s="26"/>
      <c r="R124" s="26"/>
      <c r="S124" s="28" t="str">
        <f aca="false">IF(R124="","",R124*Settings!$B$5)</f>
        <v/>
      </c>
      <c r="T124" s="28" t="str">
        <f aca="false">IF(Q124="","",Q124*12*Settings!$B$5/8)</f>
        <v/>
      </c>
      <c r="U124" s="27" t="str">
        <f aca="false">IF(OR(S124="",T124="",T124=0),"",ROUND(S124/(T124/12),1))</f>
        <v/>
      </c>
      <c r="V124" s="29"/>
      <c r="W124" s="29"/>
      <c r="X124" s="25"/>
      <c r="Y124" s="25"/>
      <c r="Z124" s="30"/>
      <c r="AA124" s="30"/>
      <c r="AB124" s="27" t="str">
        <f aca="true">IF(Z124="","",IF(AA124="",TODAY(),AA124)-Z124)</f>
        <v/>
      </c>
      <c r="AC124" s="31" t="str">
        <f aca="false">IF(AB124="","",IF(AND(OR(X124="New",X124="Triaged"),AB124&gt;Settings!$B$9),"STALE",""))</f>
        <v/>
      </c>
      <c r="AD124" s="24"/>
    </row>
    <row r="125" customFormat="false" ht="15" hidden="false" customHeight="false" outlineLevel="0" collapsed="false">
      <c r="A125" s="23"/>
      <c r="B125" s="24"/>
      <c r="C125" s="25"/>
      <c r="D125" s="25"/>
      <c r="E125" s="25"/>
      <c r="F125" s="24"/>
      <c r="G125" s="25"/>
      <c r="H125" s="25"/>
      <c r="I125" s="25"/>
      <c r="J125" s="25"/>
      <c r="K125" s="26"/>
      <c r="L125" s="26"/>
      <c r="M125" s="26"/>
      <c r="N125" s="26"/>
      <c r="O125" s="27" t="str">
        <f aca="false">IF(OR(N125="",N125=0),"",ROUND((K125+L125+M125)/N125,1))</f>
        <v/>
      </c>
      <c r="P125" s="27" t="str">
        <f aca="false">IF(OR(O125="",X125="Done",X125="Rejected"),"",COUNTIFS($O$5:$O$204,"&gt;"&amp;O125,$X$5:$X$204,"&lt;&gt;Done",$X$5:$X$204,"&lt;&gt;Rejected")+1)</f>
        <v/>
      </c>
      <c r="Q125" s="26"/>
      <c r="R125" s="26"/>
      <c r="S125" s="28" t="str">
        <f aca="false">IF(R125="","",R125*Settings!$B$5)</f>
        <v/>
      </c>
      <c r="T125" s="28" t="str">
        <f aca="false">IF(Q125="","",Q125*12*Settings!$B$5/8)</f>
        <v/>
      </c>
      <c r="U125" s="27" t="str">
        <f aca="false">IF(OR(S125="",T125="",T125=0),"",ROUND(S125/(T125/12),1))</f>
        <v/>
      </c>
      <c r="V125" s="29"/>
      <c r="W125" s="29"/>
      <c r="X125" s="25"/>
      <c r="Y125" s="25"/>
      <c r="Z125" s="30"/>
      <c r="AA125" s="30"/>
      <c r="AB125" s="27" t="str">
        <f aca="true">IF(Z125="","",IF(AA125="",TODAY(),AA125)-Z125)</f>
        <v/>
      </c>
      <c r="AC125" s="31" t="str">
        <f aca="false">IF(AB125="","",IF(AND(OR(X125="New",X125="Triaged"),AB125&gt;Settings!$B$9),"STALE",""))</f>
        <v/>
      </c>
      <c r="AD125" s="24"/>
    </row>
    <row r="126" customFormat="false" ht="15" hidden="false" customHeight="false" outlineLevel="0" collapsed="false">
      <c r="A126" s="23"/>
      <c r="B126" s="24"/>
      <c r="C126" s="25"/>
      <c r="D126" s="25"/>
      <c r="E126" s="25"/>
      <c r="F126" s="24"/>
      <c r="G126" s="25"/>
      <c r="H126" s="25"/>
      <c r="I126" s="25"/>
      <c r="J126" s="25"/>
      <c r="K126" s="26"/>
      <c r="L126" s="26"/>
      <c r="M126" s="26"/>
      <c r="N126" s="26"/>
      <c r="O126" s="27" t="str">
        <f aca="false">IF(OR(N126="",N126=0),"",ROUND((K126+L126+M126)/N126,1))</f>
        <v/>
      </c>
      <c r="P126" s="27" t="str">
        <f aca="false">IF(OR(O126="",X126="Done",X126="Rejected"),"",COUNTIFS($O$5:$O$204,"&gt;"&amp;O126,$X$5:$X$204,"&lt;&gt;Done",$X$5:$X$204,"&lt;&gt;Rejected")+1)</f>
        <v/>
      </c>
      <c r="Q126" s="26"/>
      <c r="R126" s="26"/>
      <c r="S126" s="28" t="str">
        <f aca="false">IF(R126="","",R126*Settings!$B$5)</f>
        <v/>
      </c>
      <c r="T126" s="28" t="str">
        <f aca="false">IF(Q126="","",Q126*12*Settings!$B$5/8)</f>
        <v/>
      </c>
      <c r="U126" s="27" t="str">
        <f aca="false">IF(OR(S126="",T126="",T126=0),"",ROUND(S126/(T126/12),1))</f>
        <v/>
      </c>
      <c r="V126" s="29"/>
      <c r="W126" s="29"/>
      <c r="X126" s="25"/>
      <c r="Y126" s="25"/>
      <c r="Z126" s="30"/>
      <c r="AA126" s="30"/>
      <c r="AB126" s="27" t="str">
        <f aca="true">IF(Z126="","",IF(AA126="",TODAY(),AA126)-Z126)</f>
        <v/>
      </c>
      <c r="AC126" s="31" t="str">
        <f aca="false">IF(AB126="","",IF(AND(OR(X126="New",X126="Triaged"),AB126&gt;Settings!$B$9),"STALE",""))</f>
        <v/>
      </c>
      <c r="AD126" s="24"/>
    </row>
    <row r="127" customFormat="false" ht="15" hidden="false" customHeight="false" outlineLevel="0" collapsed="false">
      <c r="A127" s="23"/>
      <c r="B127" s="24"/>
      <c r="C127" s="25"/>
      <c r="D127" s="25"/>
      <c r="E127" s="25"/>
      <c r="F127" s="24"/>
      <c r="G127" s="25"/>
      <c r="H127" s="25"/>
      <c r="I127" s="25"/>
      <c r="J127" s="25"/>
      <c r="K127" s="26"/>
      <c r="L127" s="26"/>
      <c r="M127" s="26"/>
      <c r="N127" s="26"/>
      <c r="O127" s="27" t="str">
        <f aca="false">IF(OR(N127="",N127=0),"",ROUND((K127+L127+M127)/N127,1))</f>
        <v/>
      </c>
      <c r="P127" s="27" t="str">
        <f aca="false">IF(OR(O127="",X127="Done",X127="Rejected"),"",COUNTIFS($O$5:$O$204,"&gt;"&amp;O127,$X$5:$X$204,"&lt;&gt;Done",$X$5:$X$204,"&lt;&gt;Rejected")+1)</f>
        <v/>
      </c>
      <c r="Q127" s="26"/>
      <c r="R127" s="26"/>
      <c r="S127" s="28" t="str">
        <f aca="false">IF(R127="","",R127*Settings!$B$5)</f>
        <v/>
      </c>
      <c r="T127" s="28" t="str">
        <f aca="false">IF(Q127="","",Q127*12*Settings!$B$5/8)</f>
        <v/>
      </c>
      <c r="U127" s="27" t="str">
        <f aca="false">IF(OR(S127="",T127="",T127=0),"",ROUND(S127/(T127/12),1))</f>
        <v/>
      </c>
      <c r="V127" s="29"/>
      <c r="W127" s="29"/>
      <c r="X127" s="25"/>
      <c r="Y127" s="25"/>
      <c r="Z127" s="30"/>
      <c r="AA127" s="30"/>
      <c r="AB127" s="27" t="str">
        <f aca="true">IF(Z127="","",IF(AA127="",TODAY(),AA127)-Z127)</f>
        <v/>
      </c>
      <c r="AC127" s="31" t="str">
        <f aca="false">IF(AB127="","",IF(AND(OR(X127="New",X127="Triaged"),AB127&gt;Settings!$B$9),"STALE",""))</f>
        <v/>
      </c>
      <c r="AD127" s="24"/>
    </row>
    <row r="128" customFormat="false" ht="15" hidden="false" customHeight="false" outlineLevel="0" collapsed="false">
      <c r="A128" s="23"/>
      <c r="B128" s="24"/>
      <c r="C128" s="25"/>
      <c r="D128" s="25"/>
      <c r="E128" s="25"/>
      <c r="F128" s="24"/>
      <c r="G128" s="25"/>
      <c r="H128" s="25"/>
      <c r="I128" s="25"/>
      <c r="J128" s="25"/>
      <c r="K128" s="26"/>
      <c r="L128" s="26"/>
      <c r="M128" s="26"/>
      <c r="N128" s="26"/>
      <c r="O128" s="27" t="str">
        <f aca="false">IF(OR(N128="",N128=0),"",ROUND((K128+L128+M128)/N128,1))</f>
        <v/>
      </c>
      <c r="P128" s="27" t="str">
        <f aca="false">IF(OR(O128="",X128="Done",X128="Rejected"),"",COUNTIFS($O$5:$O$204,"&gt;"&amp;O128,$X$5:$X$204,"&lt;&gt;Done",$X$5:$X$204,"&lt;&gt;Rejected")+1)</f>
        <v/>
      </c>
      <c r="Q128" s="26"/>
      <c r="R128" s="26"/>
      <c r="S128" s="28" t="str">
        <f aca="false">IF(R128="","",R128*Settings!$B$5)</f>
        <v/>
      </c>
      <c r="T128" s="28" t="str">
        <f aca="false">IF(Q128="","",Q128*12*Settings!$B$5/8)</f>
        <v/>
      </c>
      <c r="U128" s="27" t="str">
        <f aca="false">IF(OR(S128="",T128="",T128=0),"",ROUND(S128/(T128/12),1))</f>
        <v/>
      </c>
      <c r="V128" s="29"/>
      <c r="W128" s="29"/>
      <c r="X128" s="25"/>
      <c r="Y128" s="25"/>
      <c r="Z128" s="30"/>
      <c r="AA128" s="30"/>
      <c r="AB128" s="27" t="str">
        <f aca="true">IF(Z128="","",IF(AA128="",TODAY(),AA128)-Z128)</f>
        <v/>
      </c>
      <c r="AC128" s="31" t="str">
        <f aca="false">IF(AB128="","",IF(AND(OR(X128="New",X128="Triaged"),AB128&gt;Settings!$B$9),"STALE",""))</f>
        <v/>
      </c>
      <c r="AD128" s="24"/>
    </row>
    <row r="129" customFormat="false" ht="15" hidden="false" customHeight="false" outlineLevel="0" collapsed="false">
      <c r="A129" s="23"/>
      <c r="B129" s="24"/>
      <c r="C129" s="25"/>
      <c r="D129" s="25"/>
      <c r="E129" s="25"/>
      <c r="F129" s="24"/>
      <c r="G129" s="25"/>
      <c r="H129" s="25"/>
      <c r="I129" s="25"/>
      <c r="J129" s="25"/>
      <c r="K129" s="26"/>
      <c r="L129" s="26"/>
      <c r="M129" s="26"/>
      <c r="N129" s="26"/>
      <c r="O129" s="27" t="str">
        <f aca="false">IF(OR(N129="",N129=0),"",ROUND((K129+L129+M129)/N129,1))</f>
        <v/>
      </c>
      <c r="P129" s="27" t="str">
        <f aca="false">IF(OR(O129="",X129="Done",X129="Rejected"),"",COUNTIFS($O$5:$O$204,"&gt;"&amp;O129,$X$5:$X$204,"&lt;&gt;Done",$X$5:$X$204,"&lt;&gt;Rejected")+1)</f>
        <v/>
      </c>
      <c r="Q129" s="26"/>
      <c r="R129" s="26"/>
      <c r="S129" s="28" t="str">
        <f aca="false">IF(R129="","",R129*Settings!$B$5)</f>
        <v/>
      </c>
      <c r="T129" s="28" t="str">
        <f aca="false">IF(Q129="","",Q129*12*Settings!$B$5/8)</f>
        <v/>
      </c>
      <c r="U129" s="27" t="str">
        <f aca="false">IF(OR(S129="",T129="",T129=0),"",ROUND(S129/(T129/12),1))</f>
        <v/>
      </c>
      <c r="V129" s="29"/>
      <c r="W129" s="29"/>
      <c r="X129" s="25"/>
      <c r="Y129" s="25"/>
      <c r="Z129" s="30"/>
      <c r="AA129" s="30"/>
      <c r="AB129" s="27" t="str">
        <f aca="true">IF(Z129="","",IF(AA129="",TODAY(),AA129)-Z129)</f>
        <v/>
      </c>
      <c r="AC129" s="31" t="str">
        <f aca="false">IF(AB129="","",IF(AND(OR(X129="New",X129="Triaged"),AB129&gt;Settings!$B$9),"STALE",""))</f>
        <v/>
      </c>
      <c r="AD129" s="24"/>
    </row>
    <row r="130" customFormat="false" ht="15" hidden="false" customHeight="false" outlineLevel="0" collapsed="false">
      <c r="A130" s="23"/>
      <c r="B130" s="24"/>
      <c r="C130" s="25"/>
      <c r="D130" s="25"/>
      <c r="E130" s="25"/>
      <c r="F130" s="24"/>
      <c r="G130" s="25"/>
      <c r="H130" s="25"/>
      <c r="I130" s="25"/>
      <c r="J130" s="25"/>
      <c r="K130" s="26"/>
      <c r="L130" s="26"/>
      <c r="M130" s="26"/>
      <c r="N130" s="26"/>
      <c r="O130" s="27" t="str">
        <f aca="false">IF(OR(N130="",N130=0),"",ROUND((K130+L130+M130)/N130,1))</f>
        <v/>
      </c>
      <c r="P130" s="27" t="str">
        <f aca="false">IF(OR(O130="",X130="Done",X130="Rejected"),"",COUNTIFS($O$5:$O$204,"&gt;"&amp;O130,$X$5:$X$204,"&lt;&gt;Done",$X$5:$X$204,"&lt;&gt;Rejected")+1)</f>
        <v/>
      </c>
      <c r="Q130" s="26"/>
      <c r="R130" s="26"/>
      <c r="S130" s="28" t="str">
        <f aca="false">IF(R130="","",R130*Settings!$B$5)</f>
        <v/>
      </c>
      <c r="T130" s="28" t="str">
        <f aca="false">IF(Q130="","",Q130*12*Settings!$B$5/8)</f>
        <v/>
      </c>
      <c r="U130" s="27" t="str">
        <f aca="false">IF(OR(S130="",T130="",T130=0),"",ROUND(S130/(T130/12),1))</f>
        <v/>
      </c>
      <c r="V130" s="29"/>
      <c r="W130" s="29"/>
      <c r="X130" s="25"/>
      <c r="Y130" s="25"/>
      <c r="Z130" s="30"/>
      <c r="AA130" s="30"/>
      <c r="AB130" s="27" t="str">
        <f aca="true">IF(Z130="","",IF(AA130="",TODAY(),AA130)-Z130)</f>
        <v/>
      </c>
      <c r="AC130" s="31" t="str">
        <f aca="false">IF(AB130="","",IF(AND(OR(X130="New",X130="Triaged"),AB130&gt;Settings!$B$9),"STALE",""))</f>
        <v/>
      </c>
      <c r="AD130" s="24"/>
    </row>
    <row r="131" customFormat="false" ht="15" hidden="false" customHeight="false" outlineLevel="0" collapsed="false">
      <c r="A131" s="23"/>
      <c r="B131" s="24"/>
      <c r="C131" s="25"/>
      <c r="D131" s="25"/>
      <c r="E131" s="25"/>
      <c r="F131" s="24"/>
      <c r="G131" s="25"/>
      <c r="H131" s="25"/>
      <c r="I131" s="25"/>
      <c r="J131" s="25"/>
      <c r="K131" s="26"/>
      <c r="L131" s="26"/>
      <c r="M131" s="26"/>
      <c r="N131" s="26"/>
      <c r="O131" s="27" t="str">
        <f aca="false">IF(OR(N131="",N131=0),"",ROUND((K131+L131+M131)/N131,1))</f>
        <v/>
      </c>
      <c r="P131" s="27" t="str">
        <f aca="false">IF(OR(O131="",X131="Done",X131="Rejected"),"",COUNTIFS($O$5:$O$204,"&gt;"&amp;O131,$X$5:$X$204,"&lt;&gt;Done",$X$5:$X$204,"&lt;&gt;Rejected")+1)</f>
        <v/>
      </c>
      <c r="Q131" s="26"/>
      <c r="R131" s="26"/>
      <c r="S131" s="28" t="str">
        <f aca="false">IF(R131="","",R131*Settings!$B$5)</f>
        <v/>
      </c>
      <c r="T131" s="28" t="str">
        <f aca="false">IF(Q131="","",Q131*12*Settings!$B$5/8)</f>
        <v/>
      </c>
      <c r="U131" s="27" t="str">
        <f aca="false">IF(OR(S131="",T131="",T131=0),"",ROUND(S131/(T131/12),1))</f>
        <v/>
      </c>
      <c r="V131" s="29"/>
      <c r="W131" s="29"/>
      <c r="X131" s="25"/>
      <c r="Y131" s="25"/>
      <c r="Z131" s="30"/>
      <c r="AA131" s="30"/>
      <c r="AB131" s="27" t="str">
        <f aca="true">IF(Z131="","",IF(AA131="",TODAY(),AA131)-Z131)</f>
        <v/>
      </c>
      <c r="AC131" s="31" t="str">
        <f aca="false">IF(AB131="","",IF(AND(OR(X131="New",X131="Triaged"),AB131&gt;Settings!$B$9),"STALE",""))</f>
        <v/>
      </c>
      <c r="AD131" s="24"/>
    </row>
    <row r="132" customFormat="false" ht="15" hidden="false" customHeight="false" outlineLevel="0" collapsed="false">
      <c r="A132" s="23"/>
      <c r="B132" s="24"/>
      <c r="C132" s="25"/>
      <c r="D132" s="25"/>
      <c r="E132" s="25"/>
      <c r="F132" s="24"/>
      <c r="G132" s="25"/>
      <c r="H132" s="25"/>
      <c r="I132" s="25"/>
      <c r="J132" s="25"/>
      <c r="K132" s="26"/>
      <c r="L132" s="26"/>
      <c r="M132" s="26"/>
      <c r="N132" s="26"/>
      <c r="O132" s="27" t="str">
        <f aca="false">IF(OR(N132="",N132=0),"",ROUND((K132+L132+M132)/N132,1))</f>
        <v/>
      </c>
      <c r="P132" s="27" t="str">
        <f aca="false">IF(OR(O132="",X132="Done",X132="Rejected"),"",COUNTIFS($O$5:$O$204,"&gt;"&amp;O132,$X$5:$X$204,"&lt;&gt;Done",$X$5:$X$204,"&lt;&gt;Rejected")+1)</f>
        <v/>
      </c>
      <c r="Q132" s="26"/>
      <c r="R132" s="26"/>
      <c r="S132" s="28" t="str">
        <f aca="false">IF(R132="","",R132*Settings!$B$5)</f>
        <v/>
      </c>
      <c r="T132" s="28" t="str">
        <f aca="false">IF(Q132="","",Q132*12*Settings!$B$5/8)</f>
        <v/>
      </c>
      <c r="U132" s="27" t="str">
        <f aca="false">IF(OR(S132="",T132="",T132=0),"",ROUND(S132/(T132/12),1))</f>
        <v/>
      </c>
      <c r="V132" s="29"/>
      <c r="W132" s="29"/>
      <c r="X132" s="25"/>
      <c r="Y132" s="25"/>
      <c r="Z132" s="30"/>
      <c r="AA132" s="30"/>
      <c r="AB132" s="27" t="str">
        <f aca="true">IF(Z132="","",IF(AA132="",TODAY(),AA132)-Z132)</f>
        <v/>
      </c>
      <c r="AC132" s="31" t="str">
        <f aca="false">IF(AB132="","",IF(AND(OR(X132="New",X132="Triaged"),AB132&gt;Settings!$B$9),"STALE",""))</f>
        <v/>
      </c>
      <c r="AD132" s="24"/>
    </row>
    <row r="133" customFormat="false" ht="15" hidden="false" customHeight="false" outlineLevel="0" collapsed="false">
      <c r="A133" s="23"/>
      <c r="B133" s="24"/>
      <c r="C133" s="25"/>
      <c r="D133" s="25"/>
      <c r="E133" s="25"/>
      <c r="F133" s="24"/>
      <c r="G133" s="25"/>
      <c r="H133" s="25"/>
      <c r="I133" s="25"/>
      <c r="J133" s="25"/>
      <c r="K133" s="26"/>
      <c r="L133" s="26"/>
      <c r="M133" s="26"/>
      <c r="N133" s="26"/>
      <c r="O133" s="27" t="str">
        <f aca="false">IF(OR(N133="",N133=0),"",ROUND((K133+L133+M133)/N133,1))</f>
        <v/>
      </c>
      <c r="P133" s="27" t="str">
        <f aca="false">IF(OR(O133="",X133="Done",X133="Rejected"),"",COUNTIFS($O$5:$O$204,"&gt;"&amp;O133,$X$5:$X$204,"&lt;&gt;Done",$X$5:$X$204,"&lt;&gt;Rejected")+1)</f>
        <v/>
      </c>
      <c r="Q133" s="26"/>
      <c r="R133" s="26"/>
      <c r="S133" s="28" t="str">
        <f aca="false">IF(R133="","",R133*Settings!$B$5)</f>
        <v/>
      </c>
      <c r="T133" s="28" t="str">
        <f aca="false">IF(Q133="","",Q133*12*Settings!$B$5/8)</f>
        <v/>
      </c>
      <c r="U133" s="27" t="str">
        <f aca="false">IF(OR(S133="",T133="",T133=0),"",ROUND(S133/(T133/12),1))</f>
        <v/>
      </c>
      <c r="V133" s="29"/>
      <c r="W133" s="29"/>
      <c r="X133" s="25"/>
      <c r="Y133" s="25"/>
      <c r="Z133" s="30"/>
      <c r="AA133" s="30"/>
      <c r="AB133" s="27" t="str">
        <f aca="true">IF(Z133="","",IF(AA133="",TODAY(),AA133)-Z133)</f>
        <v/>
      </c>
      <c r="AC133" s="31" t="str">
        <f aca="false">IF(AB133="","",IF(AND(OR(X133="New",X133="Triaged"),AB133&gt;Settings!$B$9),"STALE",""))</f>
        <v/>
      </c>
      <c r="AD133" s="24"/>
    </row>
    <row r="134" customFormat="false" ht="15" hidden="false" customHeight="false" outlineLevel="0" collapsed="false">
      <c r="A134" s="23"/>
      <c r="B134" s="24"/>
      <c r="C134" s="25"/>
      <c r="D134" s="25"/>
      <c r="E134" s="25"/>
      <c r="F134" s="24"/>
      <c r="G134" s="25"/>
      <c r="H134" s="25"/>
      <c r="I134" s="25"/>
      <c r="J134" s="25"/>
      <c r="K134" s="26"/>
      <c r="L134" s="26"/>
      <c r="M134" s="26"/>
      <c r="N134" s="26"/>
      <c r="O134" s="27" t="str">
        <f aca="false">IF(OR(N134="",N134=0),"",ROUND((K134+L134+M134)/N134,1))</f>
        <v/>
      </c>
      <c r="P134" s="27" t="str">
        <f aca="false">IF(OR(O134="",X134="Done",X134="Rejected"),"",COUNTIFS($O$5:$O$204,"&gt;"&amp;O134,$X$5:$X$204,"&lt;&gt;Done",$X$5:$X$204,"&lt;&gt;Rejected")+1)</f>
        <v/>
      </c>
      <c r="Q134" s="26"/>
      <c r="R134" s="26"/>
      <c r="S134" s="28" t="str">
        <f aca="false">IF(R134="","",R134*Settings!$B$5)</f>
        <v/>
      </c>
      <c r="T134" s="28" t="str">
        <f aca="false">IF(Q134="","",Q134*12*Settings!$B$5/8)</f>
        <v/>
      </c>
      <c r="U134" s="27" t="str">
        <f aca="false">IF(OR(S134="",T134="",T134=0),"",ROUND(S134/(T134/12),1))</f>
        <v/>
      </c>
      <c r="V134" s="29"/>
      <c r="W134" s="29"/>
      <c r="X134" s="25"/>
      <c r="Y134" s="25"/>
      <c r="Z134" s="30"/>
      <c r="AA134" s="30"/>
      <c r="AB134" s="27" t="str">
        <f aca="true">IF(Z134="","",IF(AA134="",TODAY(),AA134)-Z134)</f>
        <v/>
      </c>
      <c r="AC134" s="31" t="str">
        <f aca="false">IF(AB134="","",IF(AND(OR(X134="New",X134="Triaged"),AB134&gt;Settings!$B$9),"STALE",""))</f>
        <v/>
      </c>
      <c r="AD134" s="24"/>
    </row>
    <row r="135" customFormat="false" ht="15" hidden="false" customHeight="false" outlineLevel="0" collapsed="false">
      <c r="A135" s="23"/>
      <c r="B135" s="24"/>
      <c r="C135" s="25"/>
      <c r="D135" s="25"/>
      <c r="E135" s="25"/>
      <c r="F135" s="24"/>
      <c r="G135" s="25"/>
      <c r="H135" s="25"/>
      <c r="I135" s="25"/>
      <c r="J135" s="25"/>
      <c r="K135" s="26"/>
      <c r="L135" s="26"/>
      <c r="M135" s="26"/>
      <c r="N135" s="26"/>
      <c r="O135" s="27" t="str">
        <f aca="false">IF(OR(N135="",N135=0),"",ROUND((K135+L135+M135)/N135,1))</f>
        <v/>
      </c>
      <c r="P135" s="27" t="str">
        <f aca="false">IF(OR(O135="",X135="Done",X135="Rejected"),"",COUNTIFS($O$5:$O$204,"&gt;"&amp;O135,$X$5:$X$204,"&lt;&gt;Done",$X$5:$X$204,"&lt;&gt;Rejected")+1)</f>
        <v/>
      </c>
      <c r="Q135" s="26"/>
      <c r="R135" s="26"/>
      <c r="S135" s="28" t="str">
        <f aca="false">IF(R135="","",R135*Settings!$B$5)</f>
        <v/>
      </c>
      <c r="T135" s="28" t="str">
        <f aca="false">IF(Q135="","",Q135*12*Settings!$B$5/8)</f>
        <v/>
      </c>
      <c r="U135" s="27" t="str">
        <f aca="false">IF(OR(S135="",T135="",T135=0),"",ROUND(S135/(T135/12),1))</f>
        <v/>
      </c>
      <c r="V135" s="29"/>
      <c r="W135" s="29"/>
      <c r="X135" s="25"/>
      <c r="Y135" s="25"/>
      <c r="Z135" s="30"/>
      <c r="AA135" s="30"/>
      <c r="AB135" s="27" t="str">
        <f aca="true">IF(Z135="","",IF(AA135="",TODAY(),AA135)-Z135)</f>
        <v/>
      </c>
      <c r="AC135" s="31" t="str">
        <f aca="false">IF(AB135="","",IF(AND(OR(X135="New",X135="Triaged"),AB135&gt;Settings!$B$9),"STALE",""))</f>
        <v/>
      </c>
      <c r="AD135" s="24"/>
    </row>
    <row r="136" customFormat="false" ht="15" hidden="false" customHeight="false" outlineLevel="0" collapsed="false">
      <c r="A136" s="23"/>
      <c r="B136" s="24"/>
      <c r="C136" s="25"/>
      <c r="D136" s="25"/>
      <c r="E136" s="25"/>
      <c r="F136" s="24"/>
      <c r="G136" s="25"/>
      <c r="H136" s="25"/>
      <c r="I136" s="25"/>
      <c r="J136" s="25"/>
      <c r="K136" s="26"/>
      <c r="L136" s="26"/>
      <c r="M136" s="26"/>
      <c r="N136" s="26"/>
      <c r="O136" s="27" t="str">
        <f aca="false">IF(OR(N136="",N136=0),"",ROUND((K136+L136+M136)/N136,1))</f>
        <v/>
      </c>
      <c r="P136" s="27" t="str">
        <f aca="false">IF(OR(O136="",X136="Done",X136="Rejected"),"",COUNTIFS($O$5:$O$204,"&gt;"&amp;O136,$X$5:$X$204,"&lt;&gt;Done",$X$5:$X$204,"&lt;&gt;Rejected")+1)</f>
        <v/>
      </c>
      <c r="Q136" s="26"/>
      <c r="R136" s="26"/>
      <c r="S136" s="28" t="str">
        <f aca="false">IF(R136="","",R136*Settings!$B$5)</f>
        <v/>
      </c>
      <c r="T136" s="28" t="str">
        <f aca="false">IF(Q136="","",Q136*12*Settings!$B$5/8)</f>
        <v/>
      </c>
      <c r="U136" s="27" t="str">
        <f aca="false">IF(OR(S136="",T136="",T136=0),"",ROUND(S136/(T136/12),1))</f>
        <v/>
      </c>
      <c r="V136" s="29"/>
      <c r="W136" s="29"/>
      <c r="X136" s="25"/>
      <c r="Y136" s="25"/>
      <c r="Z136" s="30"/>
      <c r="AA136" s="30"/>
      <c r="AB136" s="27" t="str">
        <f aca="true">IF(Z136="","",IF(AA136="",TODAY(),AA136)-Z136)</f>
        <v/>
      </c>
      <c r="AC136" s="31" t="str">
        <f aca="false">IF(AB136="","",IF(AND(OR(X136="New",X136="Triaged"),AB136&gt;Settings!$B$9),"STALE",""))</f>
        <v/>
      </c>
      <c r="AD136" s="24"/>
    </row>
    <row r="137" customFormat="false" ht="15" hidden="false" customHeight="false" outlineLevel="0" collapsed="false">
      <c r="A137" s="23"/>
      <c r="B137" s="24"/>
      <c r="C137" s="25"/>
      <c r="D137" s="25"/>
      <c r="E137" s="25"/>
      <c r="F137" s="24"/>
      <c r="G137" s="25"/>
      <c r="H137" s="25"/>
      <c r="I137" s="25"/>
      <c r="J137" s="25"/>
      <c r="K137" s="26"/>
      <c r="L137" s="26"/>
      <c r="M137" s="26"/>
      <c r="N137" s="26"/>
      <c r="O137" s="27" t="str">
        <f aca="false">IF(OR(N137="",N137=0),"",ROUND((K137+L137+M137)/N137,1))</f>
        <v/>
      </c>
      <c r="P137" s="27" t="str">
        <f aca="false">IF(OR(O137="",X137="Done",X137="Rejected"),"",COUNTIFS($O$5:$O$204,"&gt;"&amp;O137,$X$5:$X$204,"&lt;&gt;Done",$X$5:$X$204,"&lt;&gt;Rejected")+1)</f>
        <v/>
      </c>
      <c r="Q137" s="26"/>
      <c r="R137" s="26"/>
      <c r="S137" s="28" t="str">
        <f aca="false">IF(R137="","",R137*Settings!$B$5)</f>
        <v/>
      </c>
      <c r="T137" s="28" t="str">
        <f aca="false">IF(Q137="","",Q137*12*Settings!$B$5/8)</f>
        <v/>
      </c>
      <c r="U137" s="27" t="str">
        <f aca="false">IF(OR(S137="",T137="",T137=0),"",ROUND(S137/(T137/12),1))</f>
        <v/>
      </c>
      <c r="V137" s="29"/>
      <c r="W137" s="29"/>
      <c r="X137" s="25"/>
      <c r="Y137" s="25"/>
      <c r="Z137" s="30"/>
      <c r="AA137" s="30"/>
      <c r="AB137" s="27" t="str">
        <f aca="true">IF(Z137="","",IF(AA137="",TODAY(),AA137)-Z137)</f>
        <v/>
      </c>
      <c r="AC137" s="31" t="str">
        <f aca="false">IF(AB137="","",IF(AND(OR(X137="New",X137="Triaged"),AB137&gt;Settings!$B$9),"STALE",""))</f>
        <v/>
      </c>
      <c r="AD137" s="24"/>
    </row>
    <row r="138" customFormat="false" ht="15" hidden="false" customHeight="false" outlineLevel="0" collapsed="false">
      <c r="A138" s="23"/>
      <c r="B138" s="24"/>
      <c r="C138" s="25"/>
      <c r="D138" s="25"/>
      <c r="E138" s="25"/>
      <c r="F138" s="24"/>
      <c r="G138" s="25"/>
      <c r="H138" s="25"/>
      <c r="I138" s="25"/>
      <c r="J138" s="25"/>
      <c r="K138" s="26"/>
      <c r="L138" s="26"/>
      <c r="M138" s="26"/>
      <c r="N138" s="26"/>
      <c r="O138" s="27" t="str">
        <f aca="false">IF(OR(N138="",N138=0),"",ROUND((K138+L138+M138)/N138,1))</f>
        <v/>
      </c>
      <c r="P138" s="27" t="str">
        <f aca="false">IF(OR(O138="",X138="Done",X138="Rejected"),"",COUNTIFS($O$5:$O$204,"&gt;"&amp;O138,$X$5:$X$204,"&lt;&gt;Done",$X$5:$X$204,"&lt;&gt;Rejected")+1)</f>
        <v/>
      </c>
      <c r="Q138" s="26"/>
      <c r="R138" s="26"/>
      <c r="S138" s="28" t="str">
        <f aca="false">IF(R138="","",R138*Settings!$B$5)</f>
        <v/>
      </c>
      <c r="T138" s="28" t="str">
        <f aca="false">IF(Q138="","",Q138*12*Settings!$B$5/8)</f>
        <v/>
      </c>
      <c r="U138" s="27" t="str">
        <f aca="false">IF(OR(S138="",T138="",T138=0),"",ROUND(S138/(T138/12),1))</f>
        <v/>
      </c>
      <c r="V138" s="29"/>
      <c r="W138" s="29"/>
      <c r="X138" s="25"/>
      <c r="Y138" s="25"/>
      <c r="Z138" s="30"/>
      <c r="AA138" s="30"/>
      <c r="AB138" s="27" t="str">
        <f aca="true">IF(Z138="","",IF(AA138="",TODAY(),AA138)-Z138)</f>
        <v/>
      </c>
      <c r="AC138" s="31" t="str">
        <f aca="false">IF(AB138="","",IF(AND(OR(X138="New",X138="Triaged"),AB138&gt;Settings!$B$9),"STALE",""))</f>
        <v/>
      </c>
      <c r="AD138" s="24"/>
    </row>
    <row r="139" customFormat="false" ht="15" hidden="false" customHeight="false" outlineLevel="0" collapsed="false">
      <c r="A139" s="23"/>
      <c r="B139" s="24"/>
      <c r="C139" s="25"/>
      <c r="D139" s="25"/>
      <c r="E139" s="25"/>
      <c r="F139" s="24"/>
      <c r="G139" s="25"/>
      <c r="H139" s="25"/>
      <c r="I139" s="25"/>
      <c r="J139" s="25"/>
      <c r="K139" s="26"/>
      <c r="L139" s="26"/>
      <c r="M139" s="26"/>
      <c r="N139" s="26"/>
      <c r="O139" s="27" t="str">
        <f aca="false">IF(OR(N139="",N139=0),"",ROUND((K139+L139+M139)/N139,1))</f>
        <v/>
      </c>
      <c r="P139" s="27" t="str">
        <f aca="false">IF(OR(O139="",X139="Done",X139="Rejected"),"",COUNTIFS($O$5:$O$204,"&gt;"&amp;O139,$X$5:$X$204,"&lt;&gt;Done",$X$5:$X$204,"&lt;&gt;Rejected")+1)</f>
        <v/>
      </c>
      <c r="Q139" s="26"/>
      <c r="R139" s="26"/>
      <c r="S139" s="28" t="str">
        <f aca="false">IF(R139="","",R139*Settings!$B$5)</f>
        <v/>
      </c>
      <c r="T139" s="28" t="str">
        <f aca="false">IF(Q139="","",Q139*12*Settings!$B$5/8)</f>
        <v/>
      </c>
      <c r="U139" s="27" t="str">
        <f aca="false">IF(OR(S139="",T139="",T139=0),"",ROUND(S139/(T139/12),1))</f>
        <v/>
      </c>
      <c r="V139" s="29"/>
      <c r="W139" s="29"/>
      <c r="X139" s="25"/>
      <c r="Y139" s="25"/>
      <c r="Z139" s="30"/>
      <c r="AA139" s="30"/>
      <c r="AB139" s="27" t="str">
        <f aca="true">IF(Z139="","",IF(AA139="",TODAY(),AA139)-Z139)</f>
        <v/>
      </c>
      <c r="AC139" s="31" t="str">
        <f aca="false">IF(AB139="","",IF(AND(OR(X139="New",X139="Triaged"),AB139&gt;Settings!$B$9),"STALE",""))</f>
        <v/>
      </c>
      <c r="AD139" s="24"/>
    </row>
    <row r="140" customFormat="false" ht="15" hidden="false" customHeight="false" outlineLevel="0" collapsed="false">
      <c r="A140" s="23"/>
      <c r="B140" s="24"/>
      <c r="C140" s="25"/>
      <c r="D140" s="25"/>
      <c r="E140" s="25"/>
      <c r="F140" s="24"/>
      <c r="G140" s="25"/>
      <c r="H140" s="25"/>
      <c r="I140" s="25"/>
      <c r="J140" s="25"/>
      <c r="K140" s="26"/>
      <c r="L140" s="26"/>
      <c r="M140" s="26"/>
      <c r="N140" s="26"/>
      <c r="O140" s="27" t="str">
        <f aca="false">IF(OR(N140="",N140=0),"",ROUND((K140+L140+M140)/N140,1))</f>
        <v/>
      </c>
      <c r="P140" s="27" t="str">
        <f aca="false">IF(OR(O140="",X140="Done",X140="Rejected"),"",COUNTIFS($O$5:$O$204,"&gt;"&amp;O140,$X$5:$X$204,"&lt;&gt;Done",$X$5:$X$204,"&lt;&gt;Rejected")+1)</f>
        <v/>
      </c>
      <c r="Q140" s="26"/>
      <c r="R140" s="26"/>
      <c r="S140" s="28" t="str">
        <f aca="false">IF(R140="","",R140*Settings!$B$5)</f>
        <v/>
      </c>
      <c r="T140" s="28" t="str">
        <f aca="false">IF(Q140="","",Q140*12*Settings!$B$5/8)</f>
        <v/>
      </c>
      <c r="U140" s="27" t="str">
        <f aca="false">IF(OR(S140="",T140="",T140=0),"",ROUND(S140/(T140/12),1))</f>
        <v/>
      </c>
      <c r="V140" s="29"/>
      <c r="W140" s="29"/>
      <c r="X140" s="25"/>
      <c r="Y140" s="25"/>
      <c r="Z140" s="30"/>
      <c r="AA140" s="30"/>
      <c r="AB140" s="27" t="str">
        <f aca="true">IF(Z140="","",IF(AA140="",TODAY(),AA140)-Z140)</f>
        <v/>
      </c>
      <c r="AC140" s="31" t="str">
        <f aca="false">IF(AB140="","",IF(AND(OR(X140="New",X140="Triaged"),AB140&gt;Settings!$B$9),"STALE",""))</f>
        <v/>
      </c>
      <c r="AD140" s="24"/>
    </row>
    <row r="141" customFormat="false" ht="15" hidden="false" customHeight="false" outlineLevel="0" collapsed="false">
      <c r="A141" s="23"/>
      <c r="B141" s="24"/>
      <c r="C141" s="25"/>
      <c r="D141" s="25"/>
      <c r="E141" s="25"/>
      <c r="F141" s="24"/>
      <c r="G141" s="25"/>
      <c r="H141" s="25"/>
      <c r="I141" s="25"/>
      <c r="J141" s="25"/>
      <c r="K141" s="26"/>
      <c r="L141" s="26"/>
      <c r="M141" s="26"/>
      <c r="N141" s="26"/>
      <c r="O141" s="27" t="str">
        <f aca="false">IF(OR(N141="",N141=0),"",ROUND((K141+L141+M141)/N141,1))</f>
        <v/>
      </c>
      <c r="P141" s="27" t="str">
        <f aca="false">IF(OR(O141="",X141="Done",X141="Rejected"),"",COUNTIFS($O$5:$O$204,"&gt;"&amp;O141,$X$5:$X$204,"&lt;&gt;Done",$X$5:$X$204,"&lt;&gt;Rejected")+1)</f>
        <v/>
      </c>
      <c r="Q141" s="26"/>
      <c r="R141" s="26"/>
      <c r="S141" s="28" t="str">
        <f aca="false">IF(R141="","",R141*Settings!$B$5)</f>
        <v/>
      </c>
      <c r="T141" s="28" t="str">
        <f aca="false">IF(Q141="","",Q141*12*Settings!$B$5/8)</f>
        <v/>
      </c>
      <c r="U141" s="27" t="str">
        <f aca="false">IF(OR(S141="",T141="",T141=0),"",ROUND(S141/(T141/12),1))</f>
        <v/>
      </c>
      <c r="V141" s="29"/>
      <c r="W141" s="29"/>
      <c r="X141" s="25"/>
      <c r="Y141" s="25"/>
      <c r="Z141" s="30"/>
      <c r="AA141" s="30"/>
      <c r="AB141" s="27" t="str">
        <f aca="true">IF(Z141="","",IF(AA141="",TODAY(),AA141)-Z141)</f>
        <v/>
      </c>
      <c r="AC141" s="31" t="str">
        <f aca="false">IF(AB141="","",IF(AND(OR(X141="New",X141="Triaged"),AB141&gt;Settings!$B$9),"STALE",""))</f>
        <v/>
      </c>
      <c r="AD141" s="24"/>
    </row>
    <row r="142" customFormat="false" ht="15" hidden="false" customHeight="false" outlineLevel="0" collapsed="false">
      <c r="A142" s="23"/>
      <c r="B142" s="24"/>
      <c r="C142" s="25"/>
      <c r="D142" s="25"/>
      <c r="E142" s="25"/>
      <c r="F142" s="24"/>
      <c r="G142" s="25"/>
      <c r="H142" s="25"/>
      <c r="I142" s="25"/>
      <c r="J142" s="25"/>
      <c r="K142" s="26"/>
      <c r="L142" s="26"/>
      <c r="M142" s="26"/>
      <c r="N142" s="26"/>
      <c r="O142" s="27" t="str">
        <f aca="false">IF(OR(N142="",N142=0),"",ROUND((K142+L142+M142)/N142,1))</f>
        <v/>
      </c>
      <c r="P142" s="27" t="str">
        <f aca="false">IF(OR(O142="",X142="Done",X142="Rejected"),"",COUNTIFS($O$5:$O$204,"&gt;"&amp;O142,$X$5:$X$204,"&lt;&gt;Done",$X$5:$X$204,"&lt;&gt;Rejected")+1)</f>
        <v/>
      </c>
      <c r="Q142" s="26"/>
      <c r="R142" s="26"/>
      <c r="S142" s="28" t="str">
        <f aca="false">IF(R142="","",R142*Settings!$B$5)</f>
        <v/>
      </c>
      <c r="T142" s="28" t="str">
        <f aca="false">IF(Q142="","",Q142*12*Settings!$B$5/8)</f>
        <v/>
      </c>
      <c r="U142" s="27" t="str">
        <f aca="false">IF(OR(S142="",T142="",T142=0),"",ROUND(S142/(T142/12),1))</f>
        <v/>
      </c>
      <c r="V142" s="29"/>
      <c r="W142" s="29"/>
      <c r="X142" s="25"/>
      <c r="Y142" s="25"/>
      <c r="Z142" s="30"/>
      <c r="AA142" s="30"/>
      <c r="AB142" s="27" t="str">
        <f aca="true">IF(Z142="","",IF(AA142="",TODAY(),AA142)-Z142)</f>
        <v/>
      </c>
      <c r="AC142" s="31" t="str">
        <f aca="false">IF(AB142="","",IF(AND(OR(X142="New",X142="Triaged"),AB142&gt;Settings!$B$9),"STALE",""))</f>
        <v/>
      </c>
      <c r="AD142" s="24"/>
    </row>
    <row r="143" customFormat="false" ht="15" hidden="false" customHeight="false" outlineLevel="0" collapsed="false">
      <c r="A143" s="23"/>
      <c r="B143" s="24"/>
      <c r="C143" s="25"/>
      <c r="D143" s="25"/>
      <c r="E143" s="25"/>
      <c r="F143" s="24"/>
      <c r="G143" s="25"/>
      <c r="H143" s="25"/>
      <c r="I143" s="25"/>
      <c r="J143" s="25"/>
      <c r="K143" s="26"/>
      <c r="L143" s="26"/>
      <c r="M143" s="26"/>
      <c r="N143" s="26"/>
      <c r="O143" s="27" t="str">
        <f aca="false">IF(OR(N143="",N143=0),"",ROUND((K143+L143+M143)/N143,1))</f>
        <v/>
      </c>
      <c r="P143" s="27" t="str">
        <f aca="false">IF(OR(O143="",X143="Done",X143="Rejected"),"",COUNTIFS($O$5:$O$204,"&gt;"&amp;O143,$X$5:$X$204,"&lt;&gt;Done",$X$5:$X$204,"&lt;&gt;Rejected")+1)</f>
        <v/>
      </c>
      <c r="Q143" s="26"/>
      <c r="R143" s="26"/>
      <c r="S143" s="28" t="str">
        <f aca="false">IF(R143="","",R143*Settings!$B$5)</f>
        <v/>
      </c>
      <c r="T143" s="28" t="str">
        <f aca="false">IF(Q143="","",Q143*12*Settings!$B$5/8)</f>
        <v/>
      </c>
      <c r="U143" s="27" t="str">
        <f aca="false">IF(OR(S143="",T143="",T143=0),"",ROUND(S143/(T143/12),1))</f>
        <v/>
      </c>
      <c r="V143" s="29"/>
      <c r="W143" s="29"/>
      <c r="X143" s="25"/>
      <c r="Y143" s="25"/>
      <c r="Z143" s="30"/>
      <c r="AA143" s="30"/>
      <c r="AB143" s="27" t="str">
        <f aca="true">IF(Z143="","",IF(AA143="",TODAY(),AA143)-Z143)</f>
        <v/>
      </c>
      <c r="AC143" s="31" t="str">
        <f aca="false">IF(AB143="","",IF(AND(OR(X143="New",X143="Triaged"),AB143&gt;Settings!$B$9),"STALE",""))</f>
        <v/>
      </c>
      <c r="AD143" s="24"/>
    </row>
    <row r="144" customFormat="false" ht="15" hidden="false" customHeight="false" outlineLevel="0" collapsed="false">
      <c r="A144" s="23"/>
      <c r="B144" s="24"/>
      <c r="C144" s="25"/>
      <c r="D144" s="25"/>
      <c r="E144" s="25"/>
      <c r="F144" s="24"/>
      <c r="G144" s="25"/>
      <c r="H144" s="25"/>
      <c r="I144" s="25"/>
      <c r="J144" s="25"/>
      <c r="K144" s="26"/>
      <c r="L144" s="26"/>
      <c r="M144" s="26"/>
      <c r="N144" s="26"/>
      <c r="O144" s="27" t="str">
        <f aca="false">IF(OR(N144="",N144=0),"",ROUND((K144+L144+M144)/N144,1))</f>
        <v/>
      </c>
      <c r="P144" s="27" t="str">
        <f aca="false">IF(OR(O144="",X144="Done",X144="Rejected"),"",COUNTIFS($O$5:$O$204,"&gt;"&amp;O144,$X$5:$X$204,"&lt;&gt;Done",$X$5:$X$204,"&lt;&gt;Rejected")+1)</f>
        <v/>
      </c>
      <c r="Q144" s="26"/>
      <c r="R144" s="26"/>
      <c r="S144" s="28" t="str">
        <f aca="false">IF(R144="","",R144*Settings!$B$5)</f>
        <v/>
      </c>
      <c r="T144" s="28" t="str">
        <f aca="false">IF(Q144="","",Q144*12*Settings!$B$5/8)</f>
        <v/>
      </c>
      <c r="U144" s="27" t="str">
        <f aca="false">IF(OR(S144="",T144="",T144=0),"",ROUND(S144/(T144/12),1))</f>
        <v/>
      </c>
      <c r="V144" s="29"/>
      <c r="W144" s="29"/>
      <c r="X144" s="25"/>
      <c r="Y144" s="25"/>
      <c r="Z144" s="30"/>
      <c r="AA144" s="30"/>
      <c r="AB144" s="27" t="str">
        <f aca="true">IF(Z144="","",IF(AA144="",TODAY(),AA144)-Z144)</f>
        <v/>
      </c>
      <c r="AC144" s="31" t="str">
        <f aca="false">IF(AB144="","",IF(AND(OR(X144="New",X144="Triaged"),AB144&gt;Settings!$B$9),"STALE",""))</f>
        <v/>
      </c>
      <c r="AD144" s="24"/>
    </row>
    <row r="145" customFormat="false" ht="15" hidden="false" customHeight="false" outlineLevel="0" collapsed="false">
      <c r="A145" s="23"/>
      <c r="B145" s="24"/>
      <c r="C145" s="25"/>
      <c r="D145" s="25"/>
      <c r="E145" s="25"/>
      <c r="F145" s="24"/>
      <c r="G145" s="25"/>
      <c r="H145" s="25"/>
      <c r="I145" s="25"/>
      <c r="J145" s="25"/>
      <c r="K145" s="26"/>
      <c r="L145" s="26"/>
      <c r="M145" s="26"/>
      <c r="N145" s="26"/>
      <c r="O145" s="27" t="str">
        <f aca="false">IF(OR(N145="",N145=0),"",ROUND((K145+L145+M145)/N145,1))</f>
        <v/>
      </c>
      <c r="P145" s="27" t="str">
        <f aca="false">IF(OR(O145="",X145="Done",X145="Rejected"),"",COUNTIFS($O$5:$O$204,"&gt;"&amp;O145,$X$5:$X$204,"&lt;&gt;Done",$X$5:$X$204,"&lt;&gt;Rejected")+1)</f>
        <v/>
      </c>
      <c r="Q145" s="26"/>
      <c r="R145" s="26"/>
      <c r="S145" s="28" t="str">
        <f aca="false">IF(R145="","",R145*Settings!$B$5)</f>
        <v/>
      </c>
      <c r="T145" s="28" t="str">
        <f aca="false">IF(Q145="","",Q145*12*Settings!$B$5/8)</f>
        <v/>
      </c>
      <c r="U145" s="27" t="str">
        <f aca="false">IF(OR(S145="",T145="",T145=0),"",ROUND(S145/(T145/12),1))</f>
        <v/>
      </c>
      <c r="V145" s="29"/>
      <c r="W145" s="29"/>
      <c r="X145" s="25"/>
      <c r="Y145" s="25"/>
      <c r="Z145" s="30"/>
      <c r="AA145" s="30"/>
      <c r="AB145" s="27" t="str">
        <f aca="true">IF(Z145="","",IF(AA145="",TODAY(),AA145)-Z145)</f>
        <v/>
      </c>
      <c r="AC145" s="31" t="str">
        <f aca="false">IF(AB145="","",IF(AND(OR(X145="New",X145="Triaged"),AB145&gt;Settings!$B$9),"STALE",""))</f>
        <v/>
      </c>
      <c r="AD145" s="24"/>
    </row>
    <row r="146" customFormat="false" ht="15" hidden="false" customHeight="false" outlineLevel="0" collapsed="false">
      <c r="A146" s="23"/>
      <c r="B146" s="24"/>
      <c r="C146" s="25"/>
      <c r="D146" s="25"/>
      <c r="E146" s="25"/>
      <c r="F146" s="24"/>
      <c r="G146" s="25"/>
      <c r="H146" s="25"/>
      <c r="I146" s="25"/>
      <c r="J146" s="25"/>
      <c r="K146" s="26"/>
      <c r="L146" s="26"/>
      <c r="M146" s="26"/>
      <c r="N146" s="26"/>
      <c r="O146" s="27" t="str">
        <f aca="false">IF(OR(N146="",N146=0),"",ROUND((K146+L146+M146)/N146,1))</f>
        <v/>
      </c>
      <c r="P146" s="27" t="str">
        <f aca="false">IF(OR(O146="",X146="Done",X146="Rejected"),"",COUNTIFS($O$5:$O$204,"&gt;"&amp;O146,$X$5:$X$204,"&lt;&gt;Done",$X$5:$X$204,"&lt;&gt;Rejected")+1)</f>
        <v/>
      </c>
      <c r="Q146" s="26"/>
      <c r="R146" s="26"/>
      <c r="S146" s="28" t="str">
        <f aca="false">IF(R146="","",R146*Settings!$B$5)</f>
        <v/>
      </c>
      <c r="T146" s="28" t="str">
        <f aca="false">IF(Q146="","",Q146*12*Settings!$B$5/8)</f>
        <v/>
      </c>
      <c r="U146" s="27" t="str">
        <f aca="false">IF(OR(S146="",T146="",T146=0),"",ROUND(S146/(T146/12),1))</f>
        <v/>
      </c>
      <c r="V146" s="29"/>
      <c r="W146" s="29"/>
      <c r="X146" s="25"/>
      <c r="Y146" s="25"/>
      <c r="Z146" s="30"/>
      <c r="AA146" s="30"/>
      <c r="AB146" s="27" t="str">
        <f aca="true">IF(Z146="","",IF(AA146="",TODAY(),AA146)-Z146)</f>
        <v/>
      </c>
      <c r="AC146" s="31" t="str">
        <f aca="false">IF(AB146="","",IF(AND(OR(X146="New",X146="Triaged"),AB146&gt;Settings!$B$9),"STALE",""))</f>
        <v/>
      </c>
      <c r="AD146" s="24"/>
    </row>
    <row r="147" customFormat="false" ht="15" hidden="false" customHeight="false" outlineLevel="0" collapsed="false">
      <c r="A147" s="23"/>
      <c r="B147" s="24"/>
      <c r="C147" s="25"/>
      <c r="D147" s="25"/>
      <c r="E147" s="25"/>
      <c r="F147" s="24"/>
      <c r="G147" s="25"/>
      <c r="H147" s="25"/>
      <c r="I147" s="25"/>
      <c r="J147" s="25"/>
      <c r="K147" s="26"/>
      <c r="L147" s="26"/>
      <c r="M147" s="26"/>
      <c r="N147" s="26"/>
      <c r="O147" s="27" t="str">
        <f aca="false">IF(OR(N147="",N147=0),"",ROUND((K147+L147+M147)/N147,1))</f>
        <v/>
      </c>
      <c r="P147" s="27" t="str">
        <f aca="false">IF(OR(O147="",X147="Done",X147="Rejected"),"",COUNTIFS($O$5:$O$204,"&gt;"&amp;O147,$X$5:$X$204,"&lt;&gt;Done",$X$5:$X$204,"&lt;&gt;Rejected")+1)</f>
        <v/>
      </c>
      <c r="Q147" s="26"/>
      <c r="R147" s="26"/>
      <c r="S147" s="28" t="str">
        <f aca="false">IF(R147="","",R147*Settings!$B$5)</f>
        <v/>
      </c>
      <c r="T147" s="28" t="str">
        <f aca="false">IF(Q147="","",Q147*12*Settings!$B$5/8)</f>
        <v/>
      </c>
      <c r="U147" s="27" t="str">
        <f aca="false">IF(OR(S147="",T147="",T147=0),"",ROUND(S147/(T147/12),1))</f>
        <v/>
      </c>
      <c r="V147" s="29"/>
      <c r="W147" s="29"/>
      <c r="X147" s="25"/>
      <c r="Y147" s="25"/>
      <c r="Z147" s="30"/>
      <c r="AA147" s="30"/>
      <c r="AB147" s="27" t="str">
        <f aca="true">IF(Z147="","",IF(AA147="",TODAY(),AA147)-Z147)</f>
        <v/>
      </c>
      <c r="AC147" s="31" t="str">
        <f aca="false">IF(AB147="","",IF(AND(OR(X147="New",X147="Triaged"),AB147&gt;Settings!$B$9),"STALE",""))</f>
        <v/>
      </c>
      <c r="AD147" s="24"/>
    </row>
    <row r="148" customFormat="false" ht="15" hidden="false" customHeight="false" outlineLevel="0" collapsed="false">
      <c r="A148" s="23"/>
      <c r="B148" s="24"/>
      <c r="C148" s="25"/>
      <c r="D148" s="25"/>
      <c r="E148" s="25"/>
      <c r="F148" s="24"/>
      <c r="G148" s="25"/>
      <c r="H148" s="25"/>
      <c r="I148" s="25"/>
      <c r="J148" s="25"/>
      <c r="K148" s="26"/>
      <c r="L148" s="26"/>
      <c r="M148" s="26"/>
      <c r="N148" s="26"/>
      <c r="O148" s="27" t="str">
        <f aca="false">IF(OR(N148="",N148=0),"",ROUND((K148+L148+M148)/N148,1))</f>
        <v/>
      </c>
      <c r="P148" s="27" t="str">
        <f aca="false">IF(OR(O148="",X148="Done",X148="Rejected"),"",COUNTIFS($O$5:$O$204,"&gt;"&amp;O148,$X$5:$X$204,"&lt;&gt;Done",$X$5:$X$204,"&lt;&gt;Rejected")+1)</f>
        <v/>
      </c>
      <c r="Q148" s="26"/>
      <c r="R148" s="26"/>
      <c r="S148" s="28" t="str">
        <f aca="false">IF(R148="","",R148*Settings!$B$5)</f>
        <v/>
      </c>
      <c r="T148" s="28" t="str">
        <f aca="false">IF(Q148="","",Q148*12*Settings!$B$5/8)</f>
        <v/>
      </c>
      <c r="U148" s="27" t="str">
        <f aca="false">IF(OR(S148="",T148="",T148=0),"",ROUND(S148/(T148/12),1))</f>
        <v/>
      </c>
      <c r="V148" s="29"/>
      <c r="W148" s="29"/>
      <c r="X148" s="25"/>
      <c r="Y148" s="25"/>
      <c r="Z148" s="30"/>
      <c r="AA148" s="30"/>
      <c r="AB148" s="27" t="str">
        <f aca="true">IF(Z148="","",IF(AA148="",TODAY(),AA148)-Z148)</f>
        <v/>
      </c>
      <c r="AC148" s="31" t="str">
        <f aca="false">IF(AB148="","",IF(AND(OR(X148="New",X148="Triaged"),AB148&gt;Settings!$B$9),"STALE",""))</f>
        <v/>
      </c>
      <c r="AD148" s="24"/>
    </row>
    <row r="149" customFormat="false" ht="15" hidden="false" customHeight="false" outlineLevel="0" collapsed="false">
      <c r="A149" s="23"/>
      <c r="B149" s="24"/>
      <c r="C149" s="25"/>
      <c r="D149" s="25"/>
      <c r="E149" s="25"/>
      <c r="F149" s="24"/>
      <c r="G149" s="25"/>
      <c r="H149" s="25"/>
      <c r="I149" s="25"/>
      <c r="J149" s="25"/>
      <c r="K149" s="26"/>
      <c r="L149" s="26"/>
      <c r="M149" s="26"/>
      <c r="N149" s="26"/>
      <c r="O149" s="27" t="str">
        <f aca="false">IF(OR(N149="",N149=0),"",ROUND((K149+L149+M149)/N149,1))</f>
        <v/>
      </c>
      <c r="P149" s="27" t="str">
        <f aca="false">IF(OR(O149="",X149="Done",X149="Rejected"),"",COUNTIFS($O$5:$O$204,"&gt;"&amp;O149,$X$5:$X$204,"&lt;&gt;Done",$X$5:$X$204,"&lt;&gt;Rejected")+1)</f>
        <v/>
      </c>
      <c r="Q149" s="26"/>
      <c r="R149" s="26"/>
      <c r="S149" s="28" t="str">
        <f aca="false">IF(R149="","",R149*Settings!$B$5)</f>
        <v/>
      </c>
      <c r="T149" s="28" t="str">
        <f aca="false">IF(Q149="","",Q149*12*Settings!$B$5/8)</f>
        <v/>
      </c>
      <c r="U149" s="27" t="str">
        <f aca="false">IF(OR(S149="",T149="",T149=0),"",ROUND(S149/(T149/12),1))</f>
        <v/>
      </c>
      <c r="V149" s="29"/>
      <c r="W149" s="29"/>
      <c r="X149" s="25"/>
      <c r="Y149" s="25"/>
      <c r="Z149" s="30"/>
      <c r="AA149" s="30"/>
      <c r="AB149" s="27" t="str">
        <f aca="true">IF(Z149="","",IF(AA149="",TODAY(),AA149)-Z149)</f>
        <v/>
      </c>
      <c r="AC149" s="31" t="str">
        <f aca="false">IF(AB149="","",IF(AND(OR(X149="New",X149="Triaged"),AB149&gt;Settings!$B$9),"STALE",""))</f>
        <v/>
      </c>
      <c r="AD149" s="24"/>
    </row>
    <row r="150" customFormat="false" ht="15" hidden="false" customHeight="false" outlineLevel="0" collapsed="false">
      <c r="A150" s="23"/>
      <c r="B150" s="24"/>
      <c r="C150" s="25"/>
      <c r="D150" s="25"/>
      <c r="E150" s="25"/>
      <c r="F150" s="24"/>
      <c r="G150" s="25"/>
      <c r="H150" s="25"/>
      <c r="I150" s="25"/>
      <c r="J150" s="25"/>
      <c r="K150" s="26"/>
      <c r="L150" s="26"/>
      <c r="M150" s="26"/>
      <c r="N150" s="26"/>
      <c r="O150" s="27" t="str">
        <f aca="false">IF(OR(N150="",N150=0),"",ROUND((K150+L150+M150)/N150,1))</f>
        <v/>
      </c>
      <c r="P150" s="27" t="str">
        <f aca="false">IF(OR(O150="",X150="Done",X150="Rejected"),"",COUNTIFS($O$5:$O$204,"&gt;"&amp;O150,$X$5:$X$204,"&lt;&gt;Done",$X$5:$X$204,"&lt;&gt;Rejected")+1)</f>
        <v/>
      </c>
      <c r="Q150" s="26"/>
      <c r="R150" s="26"/>
      <c r="S150" s="28" t="str">
        <f aca="false">IF(R150="","",R150*Settings!$B$5)</f>
        <v/>
      </c>
      <c r="T150" s="28" t="str">
        <f aca="false">IF(Q150="","",Q150*12*Settings!$B$5/8)</f>
        <v/>
      </c>
      <c r="U150" s="27" t="str">
        <f aca="false">IF(OR(S150="",T150="",T150=0),"",ROUND(S150/(T150/12),1))</f>
        <v/>
      </c>
      <c r="V150" s="29"/>
      <c r="W150" s="29"/>
      <c r="X150" s="25"/>
      <c r="Y150" s="25"/>
      <c r="Z150" s="30"/>
      <c r="AA150" s="30"/>
      <c r="AB150" s="27" t="str">
        <f aca="true">IF(Z150="","",IF(AA150="",TODAY(),AA150)-Z150)</f>
        <v/>
      </c>
      <c r="AC150" s="31" t="str">
        <f aca="false">IF(AB150="","",IF(AND(OR(X150="New",X150="Triaged"),AB150&gt;Settings!$B$9),"STALE",""))</f>
        <v/>
      </c>
      <c r="AD150" s="24"/>
    </row>
    <row r="151" customFormat="false" ht="15" hidden="false" customHeight="false" outlineLevel="0" collapsed="false">
      <c r="A151" s="23"/>
      <c r="B151" s="24"/>
      <c r="C151" s="25"/>
      <c r="D151" s="25"/>
      <c r="E151" s="25"/>
      <c r="F151" s="24"/>
      <c r="G151" s="25"/>
      <c r="H151" s="25"/>
      <c r="I151" s="25"/>
      <c r="J151" s="25"/>
      <c r="K151" s="26"/>
      <c r="L151" s="26"/>
      <c r="M151" s="26"/>
      <c r="N151" s="26"/>
      <c r="O151" s="27" t="str">
        <f aca="false">IF(OR(N151="",N151=0),"",ROUND((K151+L151+M151)/N151,1))</f>
        <v/>
      </c>
      <c r="P151" s="27" t="str">
        <f aca="false">IF(OR(O151="",X151="Done",X151="Rejected"),"",COUNTIFS($O$5:$O$204,"&gt;"&amp;O151,$X$5:$X$204,"&lt;&gt;Done",$X$5:$X$204,"&lt;&gt;Rejected")+1)</f>
        <v/>
      </c>
      <c r="Q151" s="26"/>
      <c r="R151" s="26"/>
      <c r="S151" s="28" t="str">
        <f aca="false">IF(R151="","",R151*Settings!$B$5)</f>
        <v/>
      </c>
      <c r="T151" s="28" t="str">
        <f aca="false">IF(Q151="","",Q151*12*Settings!$B$5/8)</f>
        <v/>
      </c>
      <c r="U151" s="27" t="str">
        <f aca="false">IF(OR(S151="",T151="",T151=0),"",ROUND(S151/(T151/12),1))</f>
        <v/>
      </c>
      <c r="V151" s="29"/>
      <c r="W151" s="29"/>
      <c r="X151" s="25"/>
      <c r="Y151" s="25"/>
      <c r="Z151" s="30"/>
      <c r="AA151" s="30"/>
      <c r="AB151" s="27" t="str">
        <f aca="true">IF(Z151="","",IF(AA151="",TODAY(),AA151)-Z151)</f>
        <v/>
      </c>
      <c r="AC151" s="31" t="str">
        <f aca="false">IF(AB151="","",IF(AND(OR(X151="New",X151="Triaged"),AB151&gt;Settings!$B$9),"STALE",""))</f>
        <v/>
      </c>
      <c r="AD151" s="24"/>
    </row>
    <row r="152" customFormat="false" ht="15" hidden="false" customHeight="false" outlineLevel="0" collapsed="false">
      <c r="A152" s="23"/>
      <c r="B152" s="24"/>
      <c r="C152" s="25"/>
      <c r="D152" s="25"/>
      <c r="E152" s="25"/>
      <c r="F152" s="24"/>
      <c r="G152" s="25"/>
      <c r="H152" s="25"/>
      <c r="I152" s="25"/>
      <c r="J152" s="25"/>
      <c r="K152" s="26"/>
      <c r="L152" s="26"/>
      <c r="M152" s="26"/>
      <c r="N152" s="26"/>
      <c r="O152" s="27" t="str">
        <f aca="false">IF(OR(N152="",N152=0),"",ROUND((K152+L152+M152)/N152,1))</f>
        <v/>
      </c>
      <c r="P152" s="27" t="str">
        <f aca="false">IF(OR(O152="",X152="Done",X152="Rejected"),"",COUNTIFS($O$5:$O$204,"&gt;"&amp;O152,$X$5:$X$204,"&lt;&gt;Done",$X$5:$X$204,"&lt;&gt;Rejected")+1)</f>
        <v/>
      </c>
      <c r="Q152" s="26"/>
      <c r="R152" s="26"/>
      <c r="S152" s="28" t="str">
        <f aca="false">IF(R152="","",R152*Settings!$B$5)</f>
        <v/>
      </c>
      <c r="T152" s="28" t="str">
        <f aca="false">IF(Q152="","",Q152*12*Settings!$B$5/8)</f>
        <v/>
      </c>
      <c r="U152" s="27" t="str">
        <f aca="false">IF(OR(S152="",T152="",T152=0),"",ROUND(S152/(T152/12),1))</f>
        <v/>
      </c>
      <c r="V152" s="29"/>
      <c r="W152" s="29"/>
      <c r="X152" s="25"/>
      <c r="Y152" s="25"/>
      <c r="Z152" s="30"/>
      <c r="AA152" s="30"/>
      <c r="AB152" s="27" t="str">
        <f aca="true">IF(Z152="","",IF(AA152="",TODAY(),AA152)-Z152)</f>
        <v/>
      </c>
      <c r="AC152" s="31" t="str">
        <f aca="false">IF(AB152="","",IF(AND(OR(X152="New",X152="Triaged"),AB152&gt;Settings!$B$9),"STALE",""))</f>
        <v/>
      </c>
      <c r="AD152" s="24"/>
    </row>
    <row r="153" customFormat="false" ht="15" hidden="false" customHeight="false" outlineLevel="0" collapsed="false">
      <c r="A153" s="23"/>
      <c r="B153" s="24"/>
      <c r="C153" s="25"/>
      <c r="D153" s="25"/>
      <c r="E153" s="25"/>
      <c r="F153" s="24"/>
      <c r="G153" s="25"/>
      <c r="H153" s="25"/>
      <c r="I153" s="25"/>
      <c r="J153" s="25"/>
      <c r="K153" s="26"/>
      <c r="L153" s="26"/>
      <c r="M153" s="26"/>
      <c r="N153" s="26"/>
      <c r="O153" s="27" t="str">
        <f aca="false">IF(OR(N153="",N153=0),"",ROUND((K153+L153+M153)/N153,1))</f>
        <v/>
      </c>
      <c r="P153" s="27" t="str">
        <f aca="false">IF(OR(O153="",X153="Done",X153="Rejected"),"",COUNTIFS($O$5:$O$204,"&gt;"&amp;O153,$X$5:$X$204,"&lt;&gt;Done",$X$5:$X$204,"&lt;&gt;Rejected")+1)</f>
        <v/>
      </c>
      <c r="Q153" s="26"/>
      <c r="R153" s="26"/>
      <c r="S153" s="28" t="str">
        <f aca="false">IF(R153="","",R153*Settings!$B$5)</f>
        <v/>
      </c>
      <c r="T153" s="28" t="str">
        <f aca="false">IF(Q153="","",Q153*12*Settings!$B$5/8)</f>
        <v/>
      </c>
      <c r="U153" s="27" t="str">
        <f aca="false">IF(OR(S153="",T153="",T153=0),"",ROUND(S153/(T153/12),1))</f>
        <v/>
      </c>
      <c r="V153" s="29"/>
      <c r="W153" s="29"/>
      <c r="X153" s="25"/>
      <c r="Y153" s="25"/>
      <c r="Z153" s="30"/>
      <c r="AA153" s="30"/>
      <c r="AB153" s="27" t="str">
        <f aca="true">IF(Z153="","",IF(AA153="",TODAY(),AA153)-Z153)</f>
        <v/>
      </c>
      <c r="AC153" s="31" t="str">
        <f aca="false">IF(AB153="","",IF(AND(OR(X153="New",X153="Triaged"),AB153&gt;Settings!$B$9),"STALE",""))</f>
        <v/>
      </c>
      <c r="AD153" s="24"/>
    </row>
    <row r="154" customFormat="false" ht="15" hidden="false" customHeight="false" outlineLevel="0" collapsed="false">
      <c r="A154" s="23"/>
      <c r="B154" s="24"/>
      <c r="C154" s="25"/>
      <c r="D154" s="25"/>
      <c r="E154" s="25"/>
      <c r="F154" s="24"/>
      <c r="G154" s="25"/>
      <c r="H154" s="25"/>
      <c r="I154" s="25"/>
      <c r="J154" s="25"/>
      <c r="K154" s="26"/>
      <c r="L154" s="26"/>
      <c r="M154" s="26"/>
      <c r="N154" s="26"/>
      <c r="O154" s="27" t="str">
        <f aca="false">IF(OR(N154="",N154=0),"",ROUND((K154+L154+M154)/N154,1))</f>
        <v/>
      </c>
      <c r="P154" s="27" t="str">
        <f aca="false">IF(OR(O154="",X154="Done",X154="Rejected"),"",COUNTIFS($O$5:$O$204,"&gt;"&amp;O154,$X$5:$X$204,"&lt;&gt;Done",$X$5:$X$204,"&lt;&gt;Rejected")+1)</f>
        <v/>
      </c>
      <c r="Q154" s="26"/>
      <c r="R154" s="26"/>
      <c r="S154" s="28" t="str">
        <f aca="false">IF(R154="","",R154*Settings!$B$5)</f>
        <v/>
      </c>
      <c r="T154" s="28" t="str">
        <f aca="false">IF(Q154="","",Q154*12*Settings!$B$5/8)</f>
        <v/>
      </c>
      <c r="U154" s="27" t="str">
        <f aca="false">IF(OR(S154="",T154="",T154=0),"",ROUND(S154/(T154/12),1))</f>
        <v/>
      </c>
      <c r="V154" s="29"/>
      <c r="W154" s="29"/>
      <c r="X154" s="25"/>
      <c r="Y154" s="25"/>
      <c r="Z154" s="30"/>
      <c r="AA154" s="30"/>
      <c r="AB154" s="27" t="str">
        <f aca="true">IF(Z154="","",IF(AA154="",TODAY(),AA154)-Z154)</f>
        <v/>
      </c>
      <c r="AC154" s="31" t="str">
        <f aca="false">IF(AB154="","",IF(AND(OR(X154="New",X154="Triaged"),AB154&gt;Settings!$B$9),"STALE",""))</f>
        <v/>
      </c>
      <c r="AD154" s="24"/>
    </row>
    <row r="155" customFormat="false" ht="15" hidden="false" customHeight="false" outlineLevel="0" collapsed="false">
      <c r="A155" s="23"/>
      <c r="B155" s="24"/>
      <c r="C155" s="25"/>
      <c r="D155" s="25"/>
      <c r="E155" s="25"/>
      <c r="F155" s="24"/>
      <c r="G155" s="25"/>
      <c r="H155" s="25"/>
      <c r="I155" s="25"/>
      <c r="J155" s="25"/>
      <c r="K155" s="26"/>
      <c r="L155" s="26"/>
      <c r="M155" s="26"/>
      <c r="N155" s="26"/>
      <c r="O155" s="27" t="str">
        <f aca="false">IF(OR(N155="",N155=0),"",ROUND((K155+L155+M155)/N155,1))</f>
        <v/>
      </c>
      <c r="P155" s="27" t="str">
        <f aca="false">IF(OR(O155="",X155="Done",X155="Rejected"),"",COUNTIFS($O$5:$O$204,"&gt;"&amp;O155,$X$5:$X$204,"&lt;&gt;Done",$X$5:$X$204,"&lt;&gt;Rejected")+1)</f>
        <v/>
      </c>
      <c r="Q155" s="26"/>
      <c r="R155" s="26"/>
      <c r="S155" s="28" t="str">
        <f aca="false">IF(R155="","",R155*Settings!$B$5)</f>
        <v/>
      </c>
      <c r="T155" s="28" t="str">
        <f aca="false">IF(Q155="","",Q155*12*Settings!$B$5/8)</f>
        <v/>
      </c>
      <c r="U155" s="27" t="str">
        <f aca="false">IF(OR(S155="",T155="",T155=0),"",ROUND(S155/(T155/12),1))</f>
        <v/>
      </c>
      <c r="V155" s="29"/>
      <c r="W155" s="29"/>
      <c r="X155" s="25"/>
      <c r="Y155" s="25"/>
      <c r="Z155" s="30"/>
      <c r="AA155" s="30"/>
      <c r="AB155" s="27" t="str">
        <f aca="true">IF(Z155="","",IF(AA155="",TODAY(),AA155)-Z155)</f>
        <v/>
      </c>
      <c r="AC155" s="31" t="str">
        <f aca="false">IF(AB155="","",IF(AND(OR(X155="New",X155="Triaged"),AB155&gt;Settings!$B$9),"STALE",""))</f>
        <v/>
      </c>
      <c r="AD155" s="24"/>
    </row>
    <row r="156" customFormat="false" ht="15" hidden="false" customHeight="false" outlineLevel="0" collapsed="false">
      <c r="A156" s="23"/>
      <c r="B156" s="24"/>
      <c r="C156" s="25"/>
      <c r="D156" s="25"/>
      <c r="E156" s="25"/>
      <c r="F156" s="24"/>
      <c r="G156" s="25"/>
      <c r="H156" s="25"/>
      <c r="I156" s="25"/>
      <c r="J156" s="25"/>
      <c r="K156" s="26"/>
      <c r="L156" s="26"/>
      <c r="M156" s="26"/>
      <c r="N156" s="26"/>
      <c r="O156" s="27" t="str">
        <f aca="false">IF(OR(N156="",N156=0),"",ROUND((K156+L156+M156)/N156,1))</f>
        <v/>
      </c>
      <c r="P156" s="27" t="str">
        <f aca="false">IF(OR(O156="",X156="Done",X156="Rejected"),"",COUNTIFS($O$5:$O$204,"&gt;"&amp;O156,$X$5:$X$204,"&lt;&gt;Done",$X$5:$X$204,"&lt;&gt;Rejected")+1)</f>
        <v/>
      </c>
      <c r="Q156" s="26"/>
      <c r="R156" s="26"/>
      <c r="S156" s="28" t="str">
        <f aca="false">IF(R156="","",R156*Settings!$B$5)</f>
        <v/>
      </c>
      <c r="T156" s="28" t="str">
        <f aca="false">IF(Q156="","",Q156*12*Settings!$B$5/8)</f>
        <v/>
      </c>
      <c r="U156" s="27" t="str">
        <f aca="false">IF(OR(S156="",T156="",T156=0),"",ROUND(S156/(T156/12),1))</f>
        <v/>
      </c>
      <c r="V156" s="29"/>
      <c r="W156" s="29"/>
      <c r="X156" s="25"/>
      <c r="Y156" s="25"/>
      <c r="Z156" s="30"/>
      <c r="AA156" s="30"/>
      <c r="AB156" s="27" t="str">
        <f aca="true">IF(Z156="","",IF(AA156="",TODAY(),AA156)-Z156)</f>
        <v/>
      </c>
      <c r="AC156" s="31" t="str">
        <f aca="false">IF(AB156="","",IF(AND(OR(X156="New",X156="Triaged"),AB156&gt;Settings!$B$9),"STALE",""))</f>
        <v/>
      </c>
      <c r="AD156" s="24"/>
    </row>
    <row r="157" customFormat="false" ht="15" hidden="false" customHeight="false" outlineLevel="0" collapsed="false">
      <c r="A157" s="23"/>
      <c r="B157" s="24"/>
      <c r="C157" s="25"/>
      <c r="D157" s="25"/>
      <c r="E157" s="25"/>
      <c r="F157" s="24"/>
      <c r="G157" s="25"/>
      <c r="H157" s="25"/>
      <c r="I157" s="25"/>
      <c r="J157" s="25"/>
      <c r="K157" s="26"/>
      <c r="L157" s="26"/>
      <c r="M157" s="26"/>
      <c r="N157" s="26"/>
      <c r="O157" s="27" t="str">
        <f aca="false">IF(OR(N157="",N157=0),"",ROUND((K157+L157+M157)/N157,1))</f>
        <v/>
      </c>
      <c r="P157" s="27" t="str">
        <f aca="false">IF(OR(O157="",X157="Done",X157="Rejected"),"",COUNTIFS($O$5:$O$204,"&gt;"&amp;O157,$X$5:$X$204,"&lt;&gt;Done",$X$5:$X$204,"&lt;&gt;Rejected")+1)</f>
        <v/>
      </c>
      <c r="Q157" s="26"/>
      <c r="R157" s="26"/>
      <c r="S157" s="28" t="str">
        <f aca="false">IF(R157="","",R157*Settings!$B$5)</f>
        <v/>
      </c>
      <c r="T157" s="28" t="str">
        <f aca="false">IF(Q157="","",Q157*12*Settings!$B$5/8)</f>
        <v/>
      </c>
      <c r="U157" s="27" t="str">
        <f aca="false">IF(OR(S157="",T157="",T157=0),"",ROUND(S157/(T157/12),1))</f>
        <v/>
      </c>
      <c r="V157" s="29"/>
      <c r="W157" s="29"/>
      <c r="X157" s="25"/>
      <c r="Y157" s="25"/>
      <c r="Z157" s="30"/>
      <c r="AA157" s="30"/>
      <c r="AB157" s="27" t="str">
        <f aca="true">IF(Z157="","",IF(AA157="",TODAY(),AA157)-Z157)</f>
        <v/>
      </c>
      <c r="AC157" s="31" t="str">
        <f aca="false">IF(AB157="","",IF(AND(OR(X157="New",X157="Triaged"),AB157&gt;Settings!$B$9),"STALE",""))</f>
        <v/>
      </c>
      <c r="AD157" s="24"/>
    </row>
    <row r="158" customFormat="false" ht="15" hidden="false" customHeight="false" outlineLevel="0" collapsed="false">
      <c r="A158" s="23"/>
      <c r="B158" s="24"/>
      <c r="C158" s="25"/>
      <c r="D158" s="25"/>
      <c r="E158" s="25"/>
      <c r="F158" s="24"/>
      <c r="G158" s="25"/>
      <c r="H158" s="25"/>
      <c r="I158" s="25"/>
      <c r="J158" s="25"/>
      <c r="K158" s="26"/>
      <c r="L158" s="26"/>
      <c r="M158" s="26"/>
      <c r="N158" s="26"/>
      <c r="O158" s="27" t="str">
        <f aca="false">IF(OR(N158="",N158=0),"",ROUND((K158+L158+M158)/N158,1))</f>
        <v/>
      </c>
      <c r="P158" s="27" t="str">
        <f aca="false">IF(OR(O158="",X158="Done",X158="Rejected"),"",COUNTIFS($O$5:$O$204,"&gt;"&amp;O158,$X$5:$X$204,"&lt;&gt;Done",$X$5:$X$204,"&lt;&gt;Rejected")+1)</f>
        <v/>
      </c>
      <c r="Q158" s="26"/>
      <c r="R158" s="26"/>
      <c r="S158" s="28" t="str">
        <f aca="false">IF(R158="","",R158*Settings!$B$5)</f>
        <v/>
      </c>
      <c r="T158" s="28" t="str">
        <f aca="false">IF(Q158="","",Q158*12*Settings!$B$5/8)</f>
        <v/>
      </c>
      <c r="U158" s="27" t="str">
        <f aca="false">IF(OR(S158="",T158="",T158=0),"",ROUND(S158/(T158/12),1))</f>
        <v/>
      </c>
      <c r="V158" s="29"/>
      <c r="W158" s="29"/>
      <c r="X158" s="25"/>
      <c r="Y158" s="25"/>
      <c r="Z158" s="30"/>
      <c r="AA158" s="30"/>
      <c r="AB158" s="27" t="str">
        <f aca="true">IF(Z158="","",IF(AA158="",TODAY(),AA158)-Z158)</f>
        <v/>
      </c>
      <c r="AC158" s="31" t="str">
        <f aca="false">IF(AB158="","",IF(AND(OR(X158="New",X158="Triaged"),AB158&gt;Settings!$B$9),"STALE",""))</f>
        <v/>
      </c>
      <c r="AD158" s="24"/>
    </row>
    <row r="159" customFormat="false" ht="15" hidden="false" customHeight="false" outlineLevel="0" collapsed="false">
      <c r="A159" s="23"/>
      <c r="B159" s="24"/>
      <c r="C159" s="25"/>
      <c r="D159" s="25"/>
      <c r="E159" s="25"/>
      <c r="F159" s="24"/>
      <c r="G159" s="25"/>
      <c r="H159" s="25"/>
      <c r="I159" s="25"/>
      <c r="J159" s="25"/>
      <c r="K159" s="26"/>
      <c r="L159" s="26"/>
      <c r="M159" s="26"/>
      <c r="N159" s="26"/>
      <c r="O159" s="27" t="str">
        <f aca="false">IF(OR(N159="",N159=0),"",ROUND((K159+L159+M159)/N159,1))</f>
        <v/>
      </c>
      <c r="P159" s="27" t="str">
        <f aca="false">IF(OR(O159="",X159="Done",X159="Rejected"),"",COUNTIFS($O$5:$O$204,"&gt;"&amp;O159,$X$5:$X$204,"&lt;&gt;Done",$X$5:$X$204,"&lt;&gt;Rejected")+1)</f>
        <v/>
      </c>
      <c r="Q159" s="26"/>
      <c r="R159" s="26"/>
      <c r="S159" s="28" t="str">
        <f aca="false">IF(R159="","",R159*Settings!$B$5)</f>
        <v/>
      </c>
      <c r="T159" s="28" t="str">
        <f aca="false">IF(Q159="","",Q159*12*Settings!$B$5/8)</f>
        <v/>
      </c>
      <c r="U159" s="27" t="str">
        <f aca="false">IF(OR(S159="",T159="",T159=0),"",ROUND(S159/(T159/12),1))</f>
        <v/>
      </c>
      <c r="V159" s="29"/>
      <c r="W159" s="29"/>
      <c r="X159" s="25"/>
      <c r="Y159" s="25"/>
      <c r="Z159" s="30"/>
      <c r="AA159" s="30"/>
      <c r="AB159" s="27" t="str">
        <f aca="true">IF(Z159="","",IF(AA159="",TODAY(),AA159)-Z159)</f>
        <v/>
      </c>
      <c r="AC159" s="31" t="str">
        <f aca="false">IF(AB159="","",IF(AND(OR(X159="New",X159="Triaged"),AB159&gt;Settings!$B$9),"STALE",""))</f>
        <v/>
      </c>
      <c r="AD159" s="24"/>
    </row>
    <row r="160" customFormat="false" ht="15" hidden="false" customHeight="false" outlineLevel="0" collapsed="false">
      <c r="A160" s="23"/>
      <c r="B160" s="24"/>
      <c r="C160" s="25"/>
      <c r="D160" s="25"/>
      <c r="E160" s="25"/>
      <c r="F160" s="24"/>
      <c r="G160" s="25"/>
      <c r="H160" s="25"/>
      <c r="I160" s="25"/>
      <c r="J160" s="25"/>
      <c r="K160" s="26"/>
      <c r="L160" s="26"/>
      <c r="M160" s="26"/>
      <c r="N160" s="26"/>
      <c r="O160" s="27" t="str">
        <f aca="false">IF(OR(N160="",N160=0),"",ROUND((K160+L160+M160)/N160,1))</f>
        <v/>
      </c>
      <c r="P160" s="27" t="str">
        <f aca="false">IF(OR(O160="",X160="Done",X160="Rejected"),"",COUNTIFS($O$5:$O$204,"&gt;"&amp;O160,$X$5:$X$204,"&lt;&gt;Done",$X$5:$X$204,"&lt;&gt;Rejected")+1)</f>
        <v/>
      </c>
      <c r="Q160" s="26"/>
      <c r="R160" s="26"/>
      <c r="S160" s="28" t="str">
        <f aca="false">IF(R160="","",R160*Settings!$B$5)</f>
        <v/>
      </c>
      <c r="T160" s="28" t="str">
        <f aca="false">IF(Q160="","",Q160*12*Settings!$B$5/8)</f>
        <v/>
      </c>
      <c r="U160" s="27" t="str">
        <f aca="false">IF(OR(S160="",T160="",T160=0),"",ROUND(S160/(T160/12),1))</f>
        <v/>
      </c>
      <c r="V160" s="29"/>
      <c r="W160" s="29"/>
      <c r="X160" s="25"/>
      <c r="Y160" s="25"/>
      <c r="Z160" s="30"/>
      <c r="AA160" s="30"/>
      <c r="AB160" s="27" t="str">
        <f aca="true">IF(Z160="","",IF(AA160="",TODAY(),AA160)-Z160)</f>
        <v/>
      </c>
      <c r="AC160" s="31" t="str">
        <f aca="false">IF(AB160="","",IF(AND(OR(X160="New",X160="Triaged"),AB160&gt;Settings!$B$9),"STALE",""))</f>
        <v/>
      </c>
      <c r="AD160" s="24"/>
    </row>
    <row r="161" customFormat="false" ht="15" hidden="false" customHeight="false" outlineLevel="0" collapsed="false">
      <c r="A161" s="23"/>
      <c r="B161" s="24"/>
      <c r="C161" s="25"/>
      <c r="D161" s="25"/>
      <c r="E161" s="25"/>
      <c r="F161" s="24"/>
      <c r="G161" s="25"/>
      <c r="H161" s="25"/>
      <c r="I161" s="25"/>
      <c r="J161" s="25"/>
      <c r="K161" s="26"/>
      <c r="L161" s="26"/>
      <c r="M161" s="26"/>
      <c r="N161" s="26"/>
      <c r="O161" s="27" t="str">
        <f aca="false">IF(OR(N161="",N161=0),"",ROUND((K161+L161+M161)/N161,1))</f>
        <v/>
      </c>
      <c r="P161" s="27" t="str">
        <f aca="false">IF(OR(O161="",X161="Done",X161="Rejected"),"",COUNTIFS($O$5:$O$204,"&gt;"&amp;O161,$X$5:$X$204,"&lt;&gt;Done",$X$5:$X$204,"&lt;&gt;Rejected")+1)</f>
        <v/>
      </c>
      <c r="Q161" s="26"/>
      <c r="R161" s="26"/>
      <c r="S161" s="28" t="str">
        <f aca="false">IF(R161="","",R161*Settings!$B$5)</f>
        <v/>
      </c>
      <c r="T161" s="28" t="str">
        <f aca="false">IF(Q161="","",Q161*12*Settings!$B$5/8)</f>
        <v/>
      </c>
      <c r="U161" s="27" t="str">
        <f aca="false">IF(OR(S161="",T161="",T161=0),"",ROUND(S161/(T161/12),1))</f>
        <v/>
      </c>
      <c r="V161" s="29"/>
      <c r="W161" s="29"/>
      <c r="X161" s="25"/>
      <c r="Y161" s="25"/>
      <c r="Z161" s="30"/>
      <c r="AA161" s="30"/>
      <c r="AB161" s="27" t="str">
        <f aca="true">IF(Z161="","",IF(AA161="",TODAY(),AA161)-Z161)</f>
        <v/>
      </c>
      <c r="AC161" s="31" t="str">
        <f aca="false">IF(AB161="","",IF(AND(OR(X161="New",X161="Triaged"),AB161&gt;Settings!$B$9),"STALE",""))</f>
        <v/>
      </c>
      <c r="AD161" s="24"/>
    </row>
    <row r="162" customFormat="false" ht="15" hidden="false" customHeight="false" outlineLevel="0" collapsed="false">
      <c r="A162" s="23"/>
      <c r="B162" s="24"/>
      <c r="C162" s="25"/>
      <c r="D162" s="25"/>
      <c r="E162" s="25"/>
      <c r="F162" s="24"/>
      <c r="G162" s="25"/>
      <c r="H162" s="25"/>
      <c r="I162" s="25"/>
      <c r="J162" s="25"/>
      <c r="K162" s="26"/>
      <c r="L162" s="26"/>
      <c r="M162" s="26"/>
      <c r="N162" s="26"/>
      <c r="O162" s="27" t="str">
        <f aca="false">IF(OR(N162="",N162=0),"",ROUND((K162+L162+M162)/N162,1))</f>
        <v/>
      </c>
      <c r="P162" s="27" t="str">
        <f aca="false">IF(OR(O162="",X162="Done",X162="Rejected"),"",COUNTIFS($O$5:$O$204,"&gt;"&amp;O162,$X$5:$X$204,"&lt;&gt;Done",$X$5:$X$204,"&lt;&gt;Rejected")+1)</f>
        <v/>
      </c>
      <c r="Q162" s="26"/>
      <c r="R162" s="26"/>
      <c r="S162" s="28" t="str">
        <f aca="false">IF(R162="","",R162*Settings!$B$5)</f>
        <v/>
      </c>
      <c r="T162" s="28" t="str">
        <f aca="false">IF(Q162="","",Q162*12*Settings!$B$5/8)</f>
        <v/>
      </c>
      <c r="U162" s="27" t="str">
        <f aca="false">IF(OR(S162="",T162="",T162=0),"",ROUND(S162/(T162/12),1))</f>
        <v/>
      </c>
      <c r="V162" s="29"/>
      <c r="W162" s="29"/>
      <c r="X162" s="25"/>
      <c r="Y162" s="25"/>
      <c r="Z162" s="30"/>
      <c r="AA162" s="30"/>
      <c r="AB162" s="27" t="str">
        <f aca="true">IF(Z162="","",IF(AA162="",TODAY(),AA162)-Z162)</f>
        <v/>
      </c>
      <c r="AC162" s="31" t="str">
        <f aca="false">IF(AB162="","",IF(AND(OR(X162="New",X162="Triaged"),AB162&gt;Settings!$B$9),"STALE",""))</f>
        <v/>
      </c>
      <c r="AD162" s="24"/>
    </row>
    <row r="163" customFormat="false" ht="15" hidden="false" customHeight="false" outlineLevel="0" collapsed="false">
      <c r="A163" s="23"/>
      <c r="B163" s="24"/>
      <c r="C163" s="25"/>
      <c r="D163" s="25"/>
      <c r="E163" s="25"/>
      <c r="F163" s="24"/>
      <c r="G163" s="25"/>
      <c r="H163" s="25"/>
      <c r="I163" s="25"/>
      <c r="J163" s="25"/>
      <c r="K163" s="26"/>
      <c r="L163" s="26"/>
      <c r="M163" s="26"/>
      <c r="N163" s="26"/>
      <c r="O163" s="27" t="str">
        <f aca="false">IF(OR(N163="",N163=0),"",ROUND((K163+L163+M163)/N163,1))</f>
        <v/>
      </c>
      <c r="P163" s="27" t="str">
        <f aca="false">IF(OR(O163="",X163="Done",X163="Rejected"),"",COUNTIFS($O$5:$O$204,"&gt;"&amp;O163,$X$5:$X$204,"&lt;&gt;Done",$X$5:$X$204,"&lt;&gt;Rejected")+1)</f>
        <v/>
      </c>
      <c r="Q163" s="26"/>
      <c r="R163" s="26"/>
      <c r="S163" s="28" t="str">
        <f aca="false">IF(R163="","",R163*Settings!$B$5)</f>
        <v/>
      </c>
      <c r="T163" s="28" t="str">
        <f aca="false">IF(Q163="","",Q163*12*Settings!$B$5/8)</f>
        <v/>
      </c>
      <c r="U163" s="27" t="str">
        <f aca="false">IF(OR(S163="",T163="",T163=0),"",ROUND(S163/(T163/12),1))</f>
        <v/>
      </c>
      <c r="V163" s="29"/>
      <c r="W163" s="29"/>
      <c r="X163" s="25"/>
      <c r="Y163" s="25"/>
      <c r="Z163" s="30"/>
      <c r="AA163" s="30"/>
      <c r="AB163" s="27" t="str">
        <f aca="true">IF(Z163="","",IF(AA163="",TODAY(),AA163)-Z163)</f>
        <v/>
      </c>
      <c r="AC163" s="31" t="str">
        <f aca="false">IF(AB163="","",IF(AND(OR(X163="New",X163="Triaged"),AB163&gt;Settings!$B$9),"STALE",""))</f>
        <v/>
      </c>
      <c r="AD163" s="24"/>
    </row>
    <row r="164" customFormat="false" ht="15" hidden="false" customHeight="false" outlineLevel="0" collapsed="false">
      <c r="A164" s="23"/>
      <c r="B164" s="24"/>
      <c r="C164" s="25"/>
      <c r="D164" s="25"/>
      <c r="E164" s="25"/>
      <c r="F164" s="24"/>
      <c r="G164" s="25"/>
      <c r="H164" s="25"/>
      <c r="I164" s="25"/>
      <c r="J164" s="25"/>
      <c r="K164" s="26"/>
      <c r="L164" s="26"/>
      <c r="M164" s="26"/>
      <c r="N164" s="26"/>
      <c r="O164" s="27" t="str">
        <f aca="false">IF(OR(N164="",N164=0),"",ROUND((K164+L164+M164)/N164,1))</f>
        <v/>
      </c>
      <c r="P164" s="27" t="str">
        <f aca="false">IF(OR(O164="",X164="Done",X164="Rejected"),"",COUNTIFS($O$5:$O$204,"&gt;"&amp;O164,$X$5:$X$204,"&lt;&gt;Done",$X$5:$X$204,"&lt;&gt;Rejected")+1)</f>
        <v/>
      </c>
      <c r="Q164" s="26"/>
      <c r="R164" s="26"/>
      <c r="S164" s="28" t="str">
        <f aca="false">IF(R164="","",R164*Settings!$B$5)</f>
        <v/>
      </c>
      <c r="T164" s="28" t="str">
        <f aca="false">IF(Q164="","",Q164*12*Settings!$B$5/8)</f>
        <v/>
      </c>
      <c r="U164" s="27" t="str">
        <f aca="false">IF(OR(S164="",T164="",T164=0),"",ROUND(S164/(T164/12),1))</f>
        <v/>
      </c>
      <c r="V164" s="29"/>
      <c r="W164" s="29"/>
      <c r="X164" s="25"/>
      <c r="Y164" s="25"/>
      <c r="Z164" s="30"/>
      <c r="AA164" s="30"/>
      <c r="AB164" s="27" t="str">
        <f aca="true">IF(Z164="","",IF(AA164="",TODAY(),AA164)-Z164)</f>
        <v/>
      </c>
      <c r="AC164" s="31" t="str">
        <f aca="false">IF(AB164="","",IF(AND(OR(X164="New",X164="Triaged"),AB164&gt;Settings!$B$9),"STALE",""))</f>
        <v/>
      </c>
      <c r="AD164" s="24"/>
    </row>
    <row r="165" customFormat="false" ht="15" hidden="false" customHeight="false" outlineLevel="0" collapsed="false">
      <c r="A165" s="23"/>
      <c r="B165" s="24"/>
      <c r="C165" s="25"/>
      <c r="D165" s="25"/>
      <c r="E165" s="25"/>
      <c r="F165" s="24"/>
      <c r="G165" s="25"/>
      <c r="H165" s="25"/>
      <c r="I165" s="25"/>
      <c r="J165" s="25"/>
      <c r="K165" s="26"/>
      <c r="L165" s="26"/>
      <c r="M165" s="26"/>
      <c r="N165" s="26"/>
      <c r="O165" s="27" t="str">
        <f aca="false">IF(OR(N165="",N165=0),"",ROUND((K165+L165+M165)/N165,1))</f>
        <v/>
      </c>
      <c r="P165" s="27" t="str">
        <f aca="false">IF(OR(O165="",X165="Done",X165="Rejected"),"",COUNTIFS($O$5:$O$204,"&gt;"&amp;O165,$X$5:$X$204,"&lt;&gt;Done",$X$5:$X$204,"&lt;&gt;Rejected")+1)</f>
        <v/>
      </c>
      <c r="Q165" s="26"/>
      <c r="R165" s="26"/>
      <c r="S165" s="28" t="str">
        <f aca="false">IF(R165="","",R165*Settings!$B$5)</f>
        <v/>
      </c>
      <c r="T165" s="28" t="str">
        <f aca="false">IF(Q165="","",Q165*12*Settings!$B$5/8)</f>
        <v/>
      </c>
      <c r="U165" s="27" t="str">
        <f aca="false">IF(OR(S165="",T165="",T165=0),"",ROUND(S165/(T165/12),1))</f>
        <v/>
      </c>
      <c r="V165" s="29"/>
      <c r="W165" s="29"/>
      <c r="X165" s="25"/>
      <c r="Y165" s="25"/>
      <c r="Z165" s="30"/>
      <c r="AA165" s="30"/>
      <c r="AB165" s="27" t="str">
        <f aca="true">IF(Z165="","",IF(AA165="",TODAY(),AA165)-Z165)</f>
        <v/>
      </c>
      <c r="AC165" s="31" t="str">
        <f aca="false">IF(AB165="","",IF(AND(OR(X165="New",X165="Triaged"),AB165&gt;Settings!$B$9),"STALE",""))</f>
        <v/>
      </c>
      <c r="AD165" s="24"/>
    </row>
    <row r="166" customFormat="false" ht="15" hidden="false" customHeight="false" outlineLevel="0" collapsed="false">
      <c r="A166" s="23"/>
      <c r="B166" s="24"/>
      <c r="C166" s="25"/>
      <c r="D166" s="25"/>
      <c r="E166" s="25"/>
      <c r="F166" s="24"/>
      <c r="G166" s="25"/>
      <c r="H166" s="25"/>
      <c r="I166" s="25"/>
      <c r="J166" s="25"/>
      <c r="K166" s="26"/>
      <c r="L166" s="26"/>
      <c r="M166" s="26"/>
      <c r="N166" s="26"/>
      <c r="O166" s="27" t="str">
        <f aca="false">IF(OR(N166="",N166=0),"",ROUND((K166+L166+M166)/N166,1))</f>
        <v/>
      </c>
      <c r="P166" s="27" t="str">
        <f aca="false">IF(OR(O166="",X166="Done",X166="Rejected"),"",COUNTIFS($O$5:$O$204,"&gt;"&amp;O166,$X$5:$X$204,"&lt;&gt;Done",$X$5:$X$204,"&lt;&gt;Rejected")+1)</f>
        <v/>
      </c>
      <c r="Q166" s="26"/>
      <c r="R166" s="26"/>
      <c r="S166" s="28" t="str">
        <f aca="false">IF(R166="","",R166*Settings!$B$5)</f>
        <v/>
      </c>
      <c r="T166" s="28" t="str">
        <f aca="false">IF(Q166="","",Q166*12*Settings!$B$5/8)</f>
        <v/>
      </c>
      <c r="U166" s="27" t="str">
        <f aca="false">IF(OR(S166="",T166="",T166=0),"",ROUND(S166/(T166/12),1))</f>
        <v/>
      </c>
      <c r="V166" s="29"/>
      <c r="W166" s="29"/>
      <c r="X166" s="25"/>
      <c r="Y166" s="25"/>
      <c r="Z166" s="30"/>
      <c r="AA166" s="30"/>
      <c r="AB166" s="27" t="str">
        <f aca="true">IF(Z166="","",IF(AA166="",TODAY(),AA166)-Z166)</f>
        <v/>
      </c>
      <c r="AC166" s="31" t="str">
        <f aca="false">IF(AB166="","",IF(AND(OR(X166="New",X166="Triaged"),AB166&gt;Settings!$B$9),"STALE",""))</f>
        <v/>
      </c>
      <c r="AD166" s="24"/>
    </row>
    <row r="167" customFormat="false" ht="15" hidden="false" customHeight="false" outlineLevel="0" collapsed="false">
      <c r="A167" s="23"/>
      <c r="B167" s="24"/>
      <c r="C167" s="25"/>
      <c r="D167" s="25"/>
      <c r="E167" s="25"/>
      <c r="F167" s="24"/>
      <c r="G167" s="25"/>
      <c r="H167" s="25"/>
      <c r="I167" s="25"/>
      <c r="J167" s="25"/>
      <c r="K167" s="26"/>
      <c r="L167" s="26"/>
      <c r="M167" s="26"/>
      <c r="N167" s="26"/>
      <c r="O167" s="27" t="str">
        <f aca="false">IF(OR(N167="",N167=0),"",ROUND((K167+L167+M167)/N167,1))</f>
        <v/>
      </c>
      <c r="P167" s="27" t="str">
        <f aca="false">IF(OR(O167="",X167="Done",X167="Rejected"),"",COUNTIFS($O$5:$O$204,"&gt;"&amp;O167,$X$5:$X$204,"&lt;&gt;Done",$X$5:$X$204,"&lt;&gt;Rejected")+1)</f>
        <v/>
      </c>
      <c r="Q167" s="26"/>
      <c r="R167" s="26"/>
      <c r="S167" s="28" t="str">
        <f aca="false">IF(R167="","",R167*Settings!$B$5)</f>
        <v/>
      </c>
      <c r="T167" s="28" t="str">
        <f aca="false">IF(Q167="","",Q167*12*Settings!$B$5/8)</f>
        <v/>
      </c>
      <c r="U167" s="27" t="str">
        <f aca="false">IF(OR(S167="",T167="",T167=0),"",ROUND(S167/(T167/12),1))</f>
        <v/>
      </c>
      <c r="V167" s="29"/>
      <c r="W167" s="29"/>
      <c r="X167" s="25"/>
      <c r="Y167" s="25"/>
      <c r="Z167" s="30"/>
      <c r="AA167" s="30"/>
      <c r="AB167" s="27" t="str">
        <f aca="true">IF(Z167="","",IF(AA167="",TODAY(),AA167)-Z167)</f>
        <v/>
      </c>
      <c r="AC167" s="31" t="str">
        <f aca="false">IF(AB167="","",IF(AND(OR(X167="New",X167="Triaged"),AB167&gt;Settings!$B$9),"STALE",""))</f>
        <v/>
      </c>
      <c r="AD167" s="24"/>
    </row>
    <row r="168" customFormat="false" ht="15" hidden="false" customHeight="false" outlineLevel="0" collapsed="false">
      <c r="A168" s="23"/>
      <c r="B168" s="24"/>
      <c r="C168" s="25"/>
      <c r="D168" s="25"/>
      <c r="E168" s="25"/>
      <c r="F168" s="24"/>
      <c r="G168" s="25"/>
      <c r="H168" s="25"/>
      <c r="I168" s="25"/>
      <c r="J168" s="25"/>
      <c r="K168" s="26"/>
      <c r="L168" s="26"/>
      <c r="M168" s="26"/>
      <c r="N168" s="26"/>
      <c r="O168" s="27" t="str">
        <f aca="false">IF(OR(N168="",N168=0),"",ROUND((K168+L168+M168)/N168,1))</f>
        <v/>
      </c>
      <c r="P168" s="27" t="str">
        <f aca="false">IF(OR(O168="",X168="Done",X168="Rejected"),"",COUNTIFS($O$5:$O$204,"&gt;"&amp;O168,$X$5:$X$204,"&lt;&gt;Done",$X$5:$X$204,"&lt;&gt;Rejected")+1)</f>
        <v/>
      </c>
      <c r="Q168" s="26"/>
      <c r="R168" s="26"/>
      <c r="S168" s="28" t="str">
        <f aca="false">IF(R168="","",R168*Settings!$B$5)</f>
        <v/>
      </c>
      <c r="T168" s="28" t="str">
        <f aca="false">IF(Q168="","",Q168*12*Settings!$B$5/8)</f>
        <v/>
      </c>
      <c r="U168" s="27" t="str">
        <f aca="false">IF(OR(S168="",T168="",T168=0),"",ROUND(S168/(T168/12),1))</f>
        <v/>
      </c>
      <c r="V168" s="29"/>
      <c r="W168" s="29"/>
      <c r="X168" s="25"/>
      <c r="Y168" s="25"/>
      <c r="Z168" s="30"/>
      <c r="AA168" s="30"/>
      <c r="AB168" s="27" t="str">
        <f aca="true">IF(Z168="","",IF(AA168="",TODAY(),AA168)-Z168)</f>
        <v/>
      </c>
      <c r="AC168" s="31" t="str">
        <f aca="false">IF(AB168="","",IF(AND(OR(X168="New",X168="Triaged"),AB168&gt;Settings!$B$9),"STALE",""))</f>
        <v/>
      </c>
      <c r="AD168" s="24"/>
    </row>
    <row r="169" customFormat="false" ht="15" hidden="false" customHeight="false" outlineLevel="0" collapsed="false">
      <c r="A169" s="23"/>
      <c r="B169" s="24"/>
      <c r="C169" s="25"/>
      <c r="D169" s="25"/>
      <c r="E169" s="25"/>
      <c r="F169" s="24"/>
      <c r="G169" s="25"/>
      <c r="H169" s="25"/>
      <c r="I169" s="25"/>
      <c r="J169" s="25"/>
      <c r="K169" s="26"/>
      <c r="L169" s="26"/>
      <c r="M169" s="26"/>
      <c r="N169" s="26"/>
      <c r="O169" s="27" t="str">
        <f aca="false">IF(OR(N169="",N169=0),"",ROUND((K169+L169+M169)/N169,1))</f>
        <v/>
      </c>
      <c r="P169" s="27" t="str">
        <f aca="false">IF(OR(O169="",X169="Done",X169="Rejected"),"",COUNTIFS($O$5:$O$204,"&gt;"&amp;O169,$X$5:$X$204,"&lt;&gt;Done",$X$5:$X$204,"&lt;&gt;Rejected")+1)</f>
        <v/>
      </c>
      <c r="Q169" s="26"/>
      <c r="R169" s="26"/>
      <c r="S169" s="28" t="str">
        <f aca="false">IF(R169="","",R169*Settings!$B$5)</f>
        <v/>
      </c>
      <c r="T169" s="28" t="str">
        <f aca="false">IF(Q169="","",Q169*12*Settings!$B$5/8)</f>
        <v/>
      </c>
      <c r="U169" s="27" t="str">
        <f aca="false">IF(OR(S169="",T169="",T169=0),"",ROUND(S169/(T169/12),1))</f>
        <v/>
      </c>
      <c r="V169" s="29"/>
      <c r="W169" s="29"/>
      <c r="X169" s="25"/>
      <c r="Y169" s="25"/>
      <c r="Z169" s="30"/>
      <c r="AA169" s="30"/>
      <c r="AB169" s="27" t="str">
        <f aca="true">IF(Z169="","",IF(AA169="",TODAY(),AA169)-Z169)</f>
        <v/>
      </c>
      <c r="AC169" s="31" t="str">
        <f aca="false">IF(AB169="","",IF(AND(OR(X169="New",X169="Triaged"),AB169&gt;Settings!$B$9),"STALE",""))</f>
        <v/>
      </c>
      <c r="AD169" s="24"/>
    </row>
    <row r="170" customFormat="false" ht="15" hidden="false" customHeight="false" outlineLevel="0" collapsed="false">
      <c r="A170" s="23"/>
      <c r="B170" s="24"/>
      <c r="C170" s="25"/>
      <c r="D170" s="25"/>
      <c r="E170" s="25"/>
      <c r="F170" s="24"/>
      <c r="G170" s="25"/>
      <c r="H170" s="25"/>
      <c r="I170" s="25"/>
      <c r="J170" s="25"/>
      <c r="K170" s="26"/>
      <c r="L170" s="26"/>
      <c r="M170" s="26"/>
      <c r="N170" s="26"/>
      <c r="O170" s="27" t="str">
        <f aca="false">IF(OR(N170="",N170=0),"",ROUND((K170+L170+M170)/N170,1))</f>
        <v/>
      </c>
      <c r="P170" s="27" t="str">
        <f aca="false">IF(OR(O170="",X170="Done",X170="Rejected"),"",COUNTIFS($O$5:$O$204,"&gt;"&amp;O170,$X$5:$X$204,"&lt;&gt;Done",$X$5:$X$204,"&lt;&gt;Rejected")+1)</f>
        <v/>
      </c>
      <c r="Q170" s="26"/>
      <c r="R170" s="26"/>
      <c r="S170" s="28" t="str">
        <f aca="false">IF(R170="","",R170*Settings!$B$5)</f>
        <v/>
      </c>
      <c r="T170" s="28" t="str">
        <f aca="false">IF(Q170="","",Q170*12*Settings!$B$5/8)</f>
        <v/>
      </c>
      <c r="U170" s="27" t="str">
        <f aca="false">IF(OR(S170="",T170="",T170=0),"",ROUND(S170/(T170/12),1))</f>
        <v/>
      </c>
      <c r="V170" s="29"/>
      <c r="W170" s="29"/>
      <c r="X170" s="25"/>
      <c r="Y170" s="25"/>
      <c r="Z170" s="30"/>
      <c r="AA170" s="30"/>
      <c r="AB170" s="27" t="str">
        <f aca="true">IF(Z170="","",IF(AA170="",TODAY(),AA170)-Z170)</f>
        <v/>
      </c>
      <c r="AC170" s="31" t="str">
        <f aca="false">IF(AB170="","",IF(AND(OR(X170="New",X170="Triaged"),AB170&gt;Settings!$B$9),"STALE",""))</f>
        <v/>
      </c>
      <c r="AD170" s="24"/>
    </row>
    <row r="171" customFormat="false" ht="15" hidden="false" customHeight="false" outlineLevel="0" collapsed="false">
      <c r="A171" s="23"/>
      <c r="B171" s="24"/>
      <c r="C171" s="25"/>
      <c r="D171" s="25"/>
      <c r="E171" s="25"/>
      <c r="F171" s="24"/>
      <c r="G171" s="25"/>
      <c r="H171" s="25"/>
      <c r="I171" s="25"/>
      <c r="J171" s="25"/>
      <c r="K171" s="26"/>
      <c r="L171" s="26"/>
      <c r="M171" s="26"/>
      <c r="N171" s="26"/>
      <c r="O171" s="27" t="str">
        <f aca="false">IF(OR(N171="",N171=0),"",ROUND((K171+L171+M171)/N171,1))</f>
        <v/>
      </c>
      <c r="P171" s="27" t="str">
        <f aca="false">IF(OR(O171="",X171="Done",X171="Rejected"),"",COUNTIFS($O$5:$O$204,"&gt;"&amp;O171,$X$5:$X$204,"&lt;&gt;Done",$X$5:$X$204,"&lt;&gt;Rejected")+1)</f>
        <v/>
      </c>
      <c r="Q171" s="26"/>
      <c r="R171" s="26"/>
      <c r="S171" s="28" t="str">
        <f aca="false">IF(R171="","",R171*Settings!$B$5)</f>
        <v/>
      </c>
      <c r="T171" s="28" t="str">
        <f aca="false">IF(Q171="","",Q171*12*Settings!$B$5/8)</f>
        <v/>
      </c>
      <c r="U171" s="27" t="str">
        <f aca="false">IF(OR(S171="",T171="",T171=0),"",ROUND(S171/(T171/12),1))</f>
        <v/>
      </c>
      <c r="V171" s="29"/>
      <c r="W171" s="29"/>
      <c r="X171" s="25"/>
      <c r="Y171" s="25"/>
      <c r="Z171" s="30"/>
      <c r="AA171" s="30"/>
      <c r="AB171" s="27" t="str">
        <f aca="true">IF(Z171="","",IF(AA171="",TODAY(),AA171)-Z171)</f>
        <v/>
      </c>
      <c r="AC171" s="31" t="str">
        <f aca="false">IF(AB171="","",IF(AND(OR(X171="New",X171="Triaged"),AB171&gt;Settings!$B$9),"STALE",""))</f>
        <v/>
      </c>
      <c r="AD171" s="24"/>
    </row>
    <row r="172" customFormat="false" ht="15" hidden="false" customHeight="false" outlineLevel="0" collapsed="false">
      <c r="A172" s="23"/>
      <c r="B172" s="24"/>
      <c r="C172" s="25"/>
      <c r="D172" s="25"/>
      <c r="E172" s="25"/>
      <c r="F172" s="24"/>
      <c r="G172" s="25"/>
      <c r="H172" s="25"/>
      <c r="I172" s="25"/>
      <c r="J172" s="25"/>
      <c r="K172" s="26"/>
      <c r="L172" s="26"/>
      <c r="M172" s="26"/>
      <c r="N172" s="26"/>
      <c r="O172" s="27" t="str">
        <f aca="false">IF(OR(N172="",N172=0),"",ROUND((K172+L172+M172)/N172,1))</f>
        <v/>
      </c>
      <c r="P172" s="27" t="str">
        <f aca="false">IF(OR(O172="",X172="Done",X172="Rejected"),"",COUNTIFS($O$5:$O$204,"&gt;"&amp;O172,$X$5:$X$204,"&lt;&gt;Done",$X$5:$X$204,"&lt;&gt;Rejected")+1)</f>
        <v/>
      </c>
      <c r="Q172" s="26"/>
      <c r="R172" s="26"/>
      <c r="S172" s="28" t="str">
        <f aca="false">IF(R172="","",R172*Settings!$B$5)</f>
        <v/>
      </c>
      <c r="T172" s="28" t="str">
        <f aca="false">IF(Q172="","",Q172*12*Settings!$B$5/8)</f>
        <v/>
      </c>
      <c r="U172" s="27" t="str">
        <f aca="false">IF(OR(S172="",T172="",T172=0),"",ROUND(S172/(T172/12),1))</f>
        <v/>
      </c>
      <c r="V172" s="29"/>
      <c r="W172" s="29"/>
      <c r="X172" s="25"/>
      <c r="Y172" s="25"/>
      <c r="Z172" s="30"/>
      <c r="AA172" s="30"/>
      <c r="AB172" s="27" t="str">
        <f aca="true">IF(Z172="","",IF(AA172="",TODAY(),AA172)-Z172)</f>
        <v/>
      </c>
      <c r="AC172" s="31" t="str">
        <f aca="false">IF(AB172="","",IF(AND(OR(X172="New",X172="Triaged"),AB172&gt;Settings!$B$9),"STALE",""))</f>
        <v/>
      </c>
      <c r="AD172" s="24"/>
    </row>
    <row r="173" customFormat="false" ht="15" hidden="false" customHeight="false" outlineLevel="0" collapsed="false">
      <c r="A173" s="23"/>
      <c r="B173" s="24"/>
      <c r="C173" s="25"/>
      <c r="D173" s="25"/>
      <c r="E173" s="25"/>
      <c r="F173" s="24"/>
      <c r="G173" s="25"/>
      <c r="H173" s="25"/>
      <c r="I173" s="25"/>
      <c r="J173" s="25"/>
      <c r="K173" s="26"/>
      <c r="L173" s="26"/>
      <c r="M173" s="26"/>
      <c r="N173" s="26"/>
      <c r="O173" s="27" t="str">
        <f aca="false">IF(OR(N173="",N173=0),"",ROUND((K173+L173+M173)/N173,1))</f>
        <v/>
      </c>
      <c r="P173" s="27" t="str">
        <f aca="false">IF(OR(O173="",X173="Done",X173="Rejected"),"",COUNTIFS($O$5:$O$204,"&gt;"&amp;O173,$X$5:$X$204,"&lt;&gt;Done",$X$5:$X$204,"&lt;&gt;Rejected")+1)</f>
        <v/>
      </c>
      <c r="Q173" s="26"/>
      <c r="R173" s="26"/>
      <c r="S173" s="28" t="str">
        <f aca="false">IF(R173="","",R173*Settings!$B$5)</f>
        <v/>
      </c>
      <c r="T173" s="28" t="str">
        <f aca="false">IF(Q173="","",Q173*12*Settings!$B$5/8)</f>
        <v/>
      </c>
      <c r="U173" s="27" t="str">
        <f aca="false">IF(OR(S173="",T173="",T173=0),"",ROUND(S173/(T173/12),1))</f>
        <v/>
      </c>
      <c r="V173" s="29"/>
      <c r="W173" s="29"/>
      <c r="X173" s="25"/>
      <c r="Y173" s="25"/>
      <c r="Z173" s="30"/>
      <c r="AA173" s="30"/>
      <c r="AB173" s="27" t="str">
        <f aca="true">IF(Z173="","",IF(AA173="",TODAY(),AA173)-Z173)</f>
        <v/>
      </c>
      <c r="AC173" s="31" t="str">
        <f aca="false">IF(AB173="","",IF(AND(OR(X173="New",X173="Triaged"),AB173&gt;Settings!$B$9),"STALE",""))</f>
        <v/>
      </c>
      <c r="AD173" s="24"/>
    </row>
    <row r="174" customFormat="false" ht="15" hidden="false" customHeight="false" outlineLevel="0" collapsed="false">
      <c r="A174" s="23"/>
      <c r="B174" s="24"/>
      <c r="C174" s="25"/>
      <c r="D174" s="25"/>
      <c r="E174" s="25"/>
      <c r="F174" s="24"/>
      <c r="G174" s="25"/>
      <c r="H174" s="25"/>
      <c r="I174" s="25"/>
      <c r="J174" s="25"/>
      <c r="K174" s="26"/>
      <c r="L174" s="26"/>
      <c r="M174" s="26"/>
      <c r="N174" s="26"/>
      <c r="O174" s="27" t="str">
        <f aca="false">IF(OR(N174="",N174=0),"",ROUND((K174+L174+M174)/N174,1))</f>
        <v/>
      </c>
      <c r="P174" s="27" t="str">
        <f aca="false">IF(OR(O174="",X174="Done",X174="Rejected"),"",COUNTIFS($O$5:$O$204,"&gt;"&amp;O174,$X$5:$X$204,"&lt;&gt;Done",$X$5:$X$204,"&lt;&gt;Rejected")+1)</f>
        <v/>
      </c>
      <c r="Q174" s="26"/>
      <c r="R174" s="26"/>
      <c r="S174" s="28" t="str">
        <f aca="false">IF(R174="","",R174*Settings!$B$5)</f>
        <v/>
      </c>
      <c r="T174" s="28" t="str">
        <f aca="false">IF(Q174="","",Q174*12*Settings!$B$5/8)</f>
        <v/>
      </c>
      <c r="U174" s="27" t="str">
        <f aca="false">IF(OR(S174="",T174="",T174=0),"",ROUND(S174/(T174/12),1))</f>
        <v/>
      </c>
      <c r="V174" s="29"/>
      <c r="W174" s="29"/>
      <c r="X174" s="25"/>
      <c r="Y174" s="25"/>
      <c r="Z174" s="30"/>
      <c r="AA174" s="30"/>
      <c r="AB174" s="27" t="str">
        <f aca="true">IF(Z174="","",IF(AA174="",TODAY(),AA174)-Z174)</f>
        <v/>
      </c>
      <c r="AC174" s="31" t="str">
        <f aca="false">IF(AB174="","",IF(AND(OR(X174="New",X174="Triaged"),AB174&gt;Settings!$B$9),"STALE",""))</f>
        <v/>
      </c>
      <c r="AD174" s="24"/>
    </row>
    <row r="175" customFormat="false" ht="15" hidden="false" customHeight="false" outlineLevel="0" collapsed="false">
      <c r="A175" s="23"/>
      <c r="B175" s="24"/>
      <c r="C175" s="25"/>
      <c r="D175" s="25"/>
      <c r="E175" s="25"/>
      <c r="F175" s="24"/>
      <c r="G175" s="25"/>
      <c r="H175" s="25"/>
      <c r="I175" s="25"/>
      <c r="J175" s="25"/>
      <c r="K175" s="26"/>
      <c r="L175" s="26"/>
      <c r="M175" s="26"/>
      <c r="N175" s="26"/>
      <c r="O175" s="27" t="str">
        <f aca="false">IF(OR(N175="",N175=0),"",ROUND((K175+L175+M175)/N175,1))</f>
        <v/>
      </c>
      <c r="P175" s="27" t="str">
        <f aca="false">IF(OR(O175="",X175="Done",X175="Rejected"),"",COUNTIFS($O$5:$O$204,"&gt;"&amp;O175,$X$5:$X$204,"&lt;&gt;Done",$X$5:$X$204,"&lt;&gt;Rejected")+1)</f>
        <v/>
      </c>
      <c r="Q175" s="26"/>
      <c r="R175" s="26"/>
      <c r="S175" s="28" t="str">
        <f aca="false">IF(R175="","",R175*Settings!$B$5)</f>
        <v/>
      </c>
      <c r="T175" s="28" t="str">
        <f aca="false">IF(Q175="","",Q175*12*Settings!$B$5/8)</f>
        <v/>
      </c>
      <c r="U175" s="27" t="str">
        <f aca="false">IF(OR(S175="",T175="",T175=0),"",ROUND(S175/(T175/12),1))</f>
        <v/>
      </c>
      <c r="V175" s="29"/>
      <c r="W175" s="29"/>
      <c r="X175" s="25"/>
      <c r="Y175" s="25"/>
      <c r="Z175" s="30"/>
      <c r="AA175" s="30"/>
      <c r="AB175" s="27" t="str">
        <f aca="true">IF(Z175="","",IF(AA175="",TODAY(),AA175)-Z175)</f>
        <v/>
      </c>
      <c r="AC175" s="31" t="str">
        <f aca="false">IF(AB175="","",IF(AND(OR(X175="New",X175="Triaged"),AB175&gt;Settings!$B$9),"STALE",""))</f>
        <v/>
      </c>
      <c r="AD175" s="24"/>
    </row>
    <row r="176" customFormat="false" ht="15" hidden="false" customHeight="false" outlineLevel="0" collapsed="false">
      <c r="A176" s="23"/>
      <c r="B176" s="24"/>
      <c r="C176" s="25"/>
      <c r="D176" s="25"/>
      <c r="E176" s="25"/>
      <c r="F176" s="24"/>
      <c r="G176" s="25"/>
      <c r="H176" s="25"/>
      <c r="I176" s="25"/>
      <c r="J176" s="25"/>
      <c r="K176" s="26"/>
      <c r="L176" s="26"/>
      <c r="M176" s="26"/>
      <c r="N176" s="26"/>
      <c r="O176" s="27" t="str">
        <f aca="false">IF(OR(N176="",N176=0),"",ROUND((K176+L176+M176)/N176,1))</f>
        <v/>
      </c>
      <c r="P176" s="27" t="str">
        <f aca="false">IF(OR(O176="",X176="Done",X176="Rejected"),"",COUNTIFS($O$5:$O$204,"&gt;"&amp;O176,$X$5:$X$204,"&lt;&gt;Done",$X$5:$X$204,"&lt;&gt;Rejected")+1)</f>
        <v/>
      </c>
      <c r="Q176" s="26"/>
      <c r="R176" s="26"/>
      <c r="S176" s="28" t="str">
        <f aca="false">IF(R176="","",R176*Settings!$B$5)</f>
        <v/>
      </c>
      <c r="T176" s="28" t="str">
        <f aca="false">IF(Q176="","",Q176*12*Settings!$B$5/8)</f>
        <v/>
      </c>
      <c r="U176" s="27" t="str">
        <f aca="false">IF(OR(S176="",T176="",T176=0),"",ROUND(S176/(T176/12),1))</f>
        <v/>
      </c>
      <c r="V176" s="29"/>
      <c r="W176" s="29"/>
      <c r="X176" s="25"/>
      <c r="Y176" s="25"/>
      <c r="Z176" s="30"/>
      <c r="AA176" s="30"/>
      <c r="AB176" s="27" t="str">
        <f aca="true">IF(Z176="","",IF(AA176="",TODAY(),AA176)-Z176)</f>
        <v/>
      </c>
      <c r="AC176" s="31" t="str">
        <f aca="false">IF(AB176="","",IF(AND(OR(X176="New",X176="Triaged"),AB176&gt;Settings!$B$9),"STALE",""))</f>
        <v/>
      </c>
      <c r="AD176" s="24"/>
    </row>
    <row r="177" customFormat="false" ht="15" hidden="false" customHeight="false" outlineLevel="0" collapsed="false">
      <c r="A177" s="23"/>
      <c r="B177" s="24"/>
      <c r="C177" s="25"/>
      <c r="D177" s="25"/>
      <c r="E177" s="25"/>
      <c r="F177" s="24"/>
      <c r="G177" s="25"/>
      <c r="H177" s="25"/>
      <c r="I177" s="25"/>
      <c r="J177" s="25"/>
      <c r="K177" s="26"/>
      <c r="L177" s="26"/>
      <c r="M177" s="26"/>
      <c r="N177" s="26"/>
      <c r="O177" s="27" t="str">
        <f aca="false">IF(OR(N177="",N177=0),"",ROUND((K177+L177+M177)/N177,1))</f>
        <v/>
      </c>
      <c r="P177" s="27" t="str">
        <f aca="false">IF(OR(O177="",X177="Done",X177="Rejected"),"",COUNTIFS($O$5:$O$204,"&gt;"&amp;O177,$X$5:$X$204,"&lt;&gt;Done",$X$5:$X$204,"&lt;&gt;Rejected")+1)</f>
        <v/>
      </c>
      <c r="Q177" s="26"/>
      <c r="R177" s="26"/>
      <c r="S177" s="28" t="str">
        <f aca="false">IF(R177="","",R177*Settings!$B$5)</f>
        <v/>
      </c>
      <c r="T177" s="28" t="str">
        <f aca="false">IF(Q177="","",Q177*12*Settings!$B$5/8)</f>
        <v/>
      </c>
      <c r="U177" s="27" t="str">
        <f aca="false">IF(OR(S177="",T177="",T177=0),"",ROUND(S177/(T177/12),1))</f>
        <v/>
      </c>
      <c r="V177" s="29"/>
      <c r="W177" s="29"/>
      <c r="X177" s="25"/>
      <c r="Y177" s="25"/>
      <c r="Z177" s="30"/>
      <c r="AA177" s="30"/>
      <c r="AB177" s="27" t="str">
        <f aca="true">IF(Z177="","",IF(AA177="",TODAY(),AA177)-Z177)</f>
        <v/>
      </c>
      <c r="AC177" s="31" t="str">
        <f aca="false">IF(AB177="","",IF(AND(OR(X177="New",X177="Triaged"),AB177&gt;Settings!$B$9),"STALE",""))</f>
        <v/>
      </c>
      <c r="AD177" s="24"/>
    </row>
    <row r="178" customFormat="false" ht="15" hidden="false" customHeight="false" outlineLevel="0" collapsed="false">
      <c r="A178" s="23"/>
      <c r="B178" s="24"/>
      <c r="C178" s="25"/>
      <c r="D178" s="25"/>
      <c r="E178" s="25"/>
      <c r="F178" s="24"/>
      <c r="G178" s="25"/>
      <c r="H178" s="25"/>
      <c r="I178" s="25"/>
      <c r="J178" s="25"/>
      <c r="K178" s="26"/>
      <c r="L178" s="26"/>
      <c r="M178" s="26"/>
      <c r="N178" s="26"/>
      <c r="O178" s="27" t="str">
        <f aca="false">IF(OR(N178="",N178=0),"",ROUND((K178+L178+M178)/N178,1))</f>
        <v/>
      </c>
      <c r="P178" s="27" t="str">
        <f aca="false">IF(OR(O178="",X178="Done",X178="Rejected"),"",COUNTIFS($O$5:$O$204,"&gt;"&amp;O178,$X$5:$X$204,"&lt;&gt;Done",$X$5:$X$204,"&lt;&gt;Rejected")+1)</f>
        <v/>
      </c>
      <c r="Q178" s="26"/>
      <c r="R178" s="26"/>
      <c r="S178" s="28" t="str">
        <f aca="false">IF(R178="","",R178*Settings!$B$5)</f>
        <v/>
      </c>
      <c r="T178" s="28" t="str">
        <f aca="false">IF(Q178="","",Q178*12*Settings!$B$5/8)</f>
        <v/>
      </c>
      <c r="U178" s="27" t="str">
        <f aca="false">IF(OR(S178="",T178="",T178=0),"",ROUND(S178/(T178/12),1))</f>
        <v/>
      </c>
      <c r="V178" s="29"/>
      <c r="W178" s="29"/>
      <c r="X178" s="25"/>
      <c r="Y178" s="25"/>
      <c r="Z178" s="30"/>
      <c r="AA178" s="30"/>
      <c r="AB178" s="27" t="str">
        <f aca="true">IF(Z178="","",IF(AA178="",TODAY(),AA178)-Z178)</f>
        <v/>
      </c>
      <c r="AC178" s="31" t="str">
        <f aca="false">IF(AB178="","",IF(AND(OR(X178="New",X178="Triaged"),AB178&gt;Settings!$B$9),"STALE",""))</f>
        <v/>
      </c>
      <c r="AD178" s="24"/>
    </row>
    <row r="179" customFormat="false" ht="15" hidden="false" customHeight="false" outlineLevel="0" collapsed="false">
      <c r="A179" s="23"/>
      <c r="B179" s="24"/>
      <c r="C179" s="25"/>
      <c r="D179" s="25"/>
      <c r="E179" s="25"/>
      <c r="F179" s="24"/>
      <c r="G179" s="25"/>
      <c r="H179" s="25"/>
      <c r="I179" s="25"/>
      <c r="J179" s="25"/>
      <c r="K179" s="26"/>
      <c r="L179" s="26"/>
      <c r="M179" s="26"/>
      <c r="N179" s="26"/>
      <c r="O179" s="27" t="str">
        <f aca="false">IF(OR(N179="",N179=0),"",ROUND((K179+L179+M179)/N179,1))</f>
        <v/>
      </c>
      <c r="P179" s="27" t="str">
        <f aca="false">IF(OR(O179="",X179="Done",X179="Rejected"),"",COUNTIFS($O$5:$O$204,"&gt;"&amp;O179,$X$5:$X$204,"&lt;&gt;Done",$X$5:$X$204,"&lt;&gt;Rejected")+1)</f>
        <v/>
      </c>
      <c r="Q179" s="26"/>
      <c r="R179" s="26"/>
      <c r="S179" s="28" t="str">
        <f aca="false">IF(R179="","",R179*Settings!$B$5)</f>
        <v/>
      </c>
      <c r="T179" s="28" t="str">
        <f aca="false">IF(Q179="","",Q179*12*Settings!$B$5/8)</f>
        <v/>
      </c>
      <c r="U179" s="27" t="str">
        <f aca="false">IF(OR(S179="",T179="",T179=0),"",ROUND(S179/(T179/12),1))</f>
        <v/>
      </c>
      <c r="V179" s="29"/>
      <c r="W179" s="29"/>
      <c r="X179" s="25"/>
      <c r="Y179" s="25"/>
      <c r="Z179" s="30"/>
      <c r="AA179" s="30"/>
      <c r="AB179" s="27" t="str">
        <f aca="true">IF(Z179="","",IF(AA179="",TODAY(),AA179)-Z179)</f>
        <v/>
      </c>
      <c r="AC179" s="31" t="str">
        <f aca="false">IF(AB179="","",IF(AND(OR(X179="New",X179="Triaged"),AB179&gt;Settings!$B$9),"STALE",""))</f>
        <v/>
      </c>
      <c r="AD179" s="24"/>
    </row>
    <row r="180" customFormat="false" ht="15" hidden="false" customHeight="false" outlineLevel="0" collapsed="false">
      <c r="A180" s="23"/>
      <c r="B180" s="24"/>
      <c r="C180" s="25"/>
      <c r="D180" s="25"/>
      <c r="E180" s="25"/>
      <c r="F180" s="24"/>
      <c r="G180" s="25"/>
      <c r="H180" s="25"/>
      <c r="I180" s="25"/>
      <c r="J180" s="25"/>
      <c r="K180" s="26"/>
      <c r="L180" s="26"/>
      <c r="M180" s="26"/>
      <c r="N180" s="26"/>
      <c r="O180" s="27" t="str">
        <f aca="false">IF(OR(N180="",N180=0),"",ROUND((K180+L180+M180)/N180,1))</f>
        <v/>
      </c>
      <c r="P180" s="27" t="str">
        <f aca="false">IF(OR(O180="",X180="Done",X180="Rejected"),"",COUNTIFS($O$5:$O$204,"&gt;"&amp;O180,$X$5:$X$204,"&lt;&gt;Done",$X$5:$X$204,"&lt;&gt;Rejected")+1)</f>
        <v/>
      </c>
      <c r="Q180" s="26"/>
      <c r="R180" s="26"/>
      <c r="S180" s="28" t="str">
        <f aca="false">IF(R180="","",R180*Settings!$B$5)</f>
        <v/>
      </c>
      <c r="T180" s="28" t="str">
        <f aca="false">IF(Q180="","",Q180*12*Settings!$B$5/8)</f>
        <v/>
      </c>
      <c r="U180" s="27" t="str">
        <f aca="false">IF(OR(S180="",T180="",T180=0),"",ROUND(S180/(T180/12),1))</f>
        <v/>
      </c>
      <c r="V180" s="29"/>
      <c r="W180" s="29"/>
      <c r="X180" s="25"/>
      <c r="Y180" s="25"/>
      <c r="Z180" s="30"/>
      <c r="AA180" s="30"/>
      <c r="AB180" s="27" t="str">
        <f aca="true">IF(Z180="","",IF(AA180="",TODAY(),AA180)-Z180)</f>
        <v/>
      </c>
      <c r="AC180" s="31" t="str">
        <f aca="false">IF(AB180="","",IF(AND(OR(X180="New",X180="Triaged"),AB180&gt;Settings!$B$9),"STALE",""))</f>
        <v/>
      </c>
      <c r="AD180" s="24"/>
    </row>
    <row r="181" customFormat="false" ht="15" hidden="false" customHeight="false" outlineLevel="0" collapsed="false">
      <c r="A181" s="23"/>
      <c r="B181" s="24"/>
      <c r="C181" s="25"/>
      <c r="D181" s="25"/>
      <c r="E181" s="25"/>
      <c r="F181" s="24"/>
      <c r="G181" s="25"/>
      <c r="H181" s="25"/>
      <c r="I181" s="25"/>
      <c r="J181" s="25"/>
      <c r="K181" s="26"/>
      <c r="L181" s="26"/>
      <c r="M181" s="26"/>
      <c r="N181" s="26"/>
      <c r="O181" s="27" t="str">
        <f aca="false">IF(OR(N181="",N181=0),"",ROUND((K181+L181+M181)/N181,1))</f>
        <v/>
      </c>
      <c r="P181" s="27" t="str">
        <f aca="false">IF(OR(O181="",X181="Done",X181="Rejected"),"",COUNTIFS($O$5:$O$204,"&gt;"&amp;O181,$X$5:$X$204,"&lt;&gt;Done",$X$5:$X$204,"&lt;&gt;Rejected")+1)</f>
        <v/>
      </c>
      <c r="Q181" s="26"/>
      <c r="R181" s="26"/>
      <c r="S181" s="28" t="str">
        <f aca="false">IF(R181="","",R181*Settings!$B$5)</f>
        <v/>
      </c>
      <c r="T181" s="28" t="str">
        <f aca="false">IF(Q181="","",Q181*12*Settings!$B$5/8)</f>
        <v/>
      </c>
      <c r="U181" s="27" t="str">
        <f aca="false">IF(OR(S181="",T181="",T181=0),"",ROUND(S181/(T181/12),1))</f>
        <v/>
      </c>
      <c r="V181" s="29"/>
      <c r="W181" s="29"/>
      <c r="X181" s="25"/>
      <c r="Y181" s="25"/>
      <c r="Z181" s="30"/>
      <c r="AA181" s="30"/>
      <c r="AB181" s="27" t="str">
        <f aca="true">IF(Z181="","",IF(AA181="",TODAY(),AA181)-Z181)</f>
        <v/>
      </c>
      <c r="AC181" s="31" t="str">
        <f aca="false">IF(AB181="","",IF(AND(OR(X181="New",X181="Triaged"),AB181&gt;Settings!$B$9),"STALE",""))</f>
        <v/>
      </c>
      <c r="AD181" s="24"/>
    </row>
    <row r="182" customFormat="false" ht="15" hidden="false" customHeight="false" outlineLevel="0" collapsed="false">
      <c r="A182" s="23"/>
      <c r="B182" s="24"/>
      <c r="C182" s="25"/>
      <c r="D182" s="25"/>
      <c r="E182" s="25"/>
      <c r="F182" s="24"/>
      <c r="G182" s="25"/>
      <c r="H182" s="25"/>
      <c r="I182" s="25"/>
      <c r="J182" s="25"/>
      <c r="K182" s="26"/>
      <c r="L182" s="26"/>
      <c r="M182" s="26"/>
      <c r="N182" s="26"/>
      <c r="O182" s="27" t="str">
        <f aca="false">IF(OR(N182="",N182=0),"",ROUND((K182+L182+M182)/N182,1))</f>
        <v/>
      </c>
      <c r="P182" s="27" t="str">
        <f aca="false">IF(OR(O182="",X182="Done",X182="Rejected"),"",COUNTIFS($O$5:$O$204,"&gt;"&amp;O182,$X$5:$X$204,"&lt;&gt;Done",$X$5:$X$204,"&lt;&gt;Rejected")+1)</f>
        <v/>
      </c>
      <c r="Q182" s="26"/>
      <c r="R182" s="26"/>
      <c r="S182" s="28" t="str">
        <f aca="false">IF(R182="","",R182*Settings!$B$5)</f>
        <v/>
      </c>
      <c r="T182" s="28" t="str">
        <f aca="false">IF(Q182="","",Q182*12*Settings!$B$5/8)</f>
        <v/>
      </c>
      <c r="U182" s="27" t="str">
        <f aca="false">IF(OR(S182="",T182="",T182=0),"",ROUND(S182/(T182/12),1))</f>
        <v/>
      </c>
      <c r="V182" s="29"/>
      <c r="W182" s="29"/>
      <c r="X182" s="25"/>
      <c r="Y182" s="25"/>
      <c r="Z182" s="30"/>
      <c r="AA182" s="30"/>
      <c r="AB182" s="27" t="str">
        <f aca="true">IF(Z182="","",IF(AA182="",TODAY(),AA182)-Z182)</f>
        <v/>
      </c>
      <c r="AC182" s="31" t="str">
        <f aca="false">IF(AB182="","",IF(AND(OR(X182="New",X182="Triaged"),AB182&gt;Settings!$B$9),"STALE",""))</f>
        <v/>
      </c>
      <c r="AD182" s="24"/>
    </row>
    <row r="183" customFormat="false" ht="15" hidden="false" customHeight="false" outlineLevel="0" collapsed="false">
      <c r="A183" s="23"/>
      <c r="B183" s="24"/>
      <c r="C183" s="25"/>
      <c r="D183" s="25"/>
      <c r="E183" s="25"/>
      <c r="F183" s="24"/>
      <c r="G183" s="25"/>
      <c r="H183" s="25"/>
      <c r="I183" s="25"/>
      <c r="J183" s="25"/>
      <c r="K183" s="26"/>
      <c r="L183" s="26"/>
      <c r="M183" s="26"/>
      <c r="N183" s="26"/>
      <c r="O183" s="27" t="str">
        <f aca="false">IF(OR(N183="",N183=0),"",ROUND((K183+L183+M183)/N183,1))</f>
        <v/>
      </c>
      <c r="P183" s="27" t="str">
        <f aca="false">IF(OR(O183="",X183="Done",X183="Rejected"),"",COUNTIFS($O$5:$O$204,"&gt;"&amp;O183,$X$5:$X$204,"&lt;&gt;Done",$X$5:$X$204,"&lt;&gt;Rejected")+1)</f>
        <v/>
      </c>
      <c r="Q183" s="26"/>
      <c r="R183" s="26"/>
      <c r="S183" s="28" t="str">
        <f aca="false">IF(R183="","",R183*Settings!$B$5)</f>
        <v/>
      </c>
      <c r="T183" s="28" t="str">
        <f aca="false">IF(Q183="","",Q183*12*Settings!$B$5/8)</f>
        <v/>
      </c>
      <c r="U183" s="27" t="str">
        <f aca="false">IF(OR(S183="",T183="",T183=0),"",ROUND(S183/(T183/12),1))</f>
        <v/>
      </c>
      <c r="V183" s="29"/>
      <c r="W183" s="29"/>
      <c r="X183" s="25"/>
      <c r="Y183" s="25"/>
      <c r="Z183" s="30"/>
      <c r="AA183" s="30"/>
      <c r="AB183" s="27" t="str">
        <f aca="true">IF(Z183="","",IF(AA183="",TODAY(),AA183)-Z183)</f>
        <v/>
      </c>
      <c r="AC183" s="31" t="str">
        <f aca="false">IF(AB183="","",IF(AND(OR(X183="New",X183="Triaged"),AB183&gt;Settings!$B$9),"STALE",""))</f>
        <v/>
      </c>
      <c r="AD183" s="24"/>
    </row>
    <row r="184" customFormat="false" ht="15" hidden="false" customHeight="false" outlineLevel="0" collapsed="false">
      <c r="A184" s="23"/>
      <c r="B184" s="24"/>
      <c r="C184" s="25"/>
      <c r="D184" s="25"/>
      <c r="E184" s="25"/>
      <c r="F184" s="24"/>
      <c r="G184" s="25"/>
      <c r="H184" s="25"/>
      <c r="I184" s="25"/>
      <c r="J184" s="25"/>
      <c r="K184" s="26"/>
      <c r="L184" s="26"/>
      <c r="M184" s="26"/>
      <c r="N184" s="26"/>
      <c r="O184" s="27" t="str">
        <f aca="false">IF(OR(N184="",N184=0),"",ROUND((K184+L184+M184)/N184,1))</f>
        <v/>
      </c>
      <c r="P184" s="27" t="str">
        <f aca="false">IF(OR(O184="",X184="Done",X184="Rejected"),"",COUNTIFS($O$5:$O$204,"&gt;"&amp;O184,$X$5:$X$204,"&lt;&gt;Done",$X$5:$X$204,"&lt;&gt;Rejected")+1)</f>
        <v/>
      </c>
      <c r="Q184" s="26"/>
      <c r="R184" s="26"/>
      <c r="S184" s="28" t="str">
        <f aca="false">IF(R184="","",R184*Settings!$B$5)</f>
        <v/>
      </c>
      <c r="T184" s="28" t="str">
        <f aca="false">IF(Q184="","",Q184*12*Settings!$B$5/8)</f>
        <v/>
      </c>
      <c r="U184" s="27" t="str">
        <f aca="false">IF(OR(S184="",T184="",T184=0),"",ROUND(S184/(T184/12),1))</f>
        <v/>
      </c>
      <c r="V184" s="29"/>
      <c r="W184" s="29"/>
      <c r="X184" s="25"/>
      <c r="Y184" s="25"/>
      <c r="Z184" s="30"/>
      <c r="AA184" s="30"/>
      <c r="AB184" s="27" t="str">
        <f aca="true">IF(Z184="","",IF(AA184="",TODAY(),AA184)-Z184)</f>
        <v/>
      </c>
      <c r="AC184" s="31" t="str">
        <f aca="false">IF(AB184="","",IF(AND(OR(X184="New",X184="Triaged"),AB184&gt;Settings!$B$9),"STALE",""))</f>
        <v/>
      </c>
      <c r="AD184" s="24"/>
    </row>
    <row r="185" customFormat="false" ht="15" hidden="false" customHeight="false" outlineLevel="0" collapsed="false">
      <c r="A185" s="23"/>
      <c r="B185" s="24"/>
      <c r="C185" s="25"/>
      <c r="D185" s="25"/>
      <c r="E185" s="25"/>
      <c r="F185" s="24"/>
      <c r="G185" s="25"/>
      <c r="H185" s="25"/>
      <c r="I185" s="25"/>
      <c r="J185" s="25"/>
      <c r="K185" s="26"/>
      <c r="L185" s="26"/>
      <c r="M185" s="26"/>
      <c r="N185" s="26"/>
      <c r="O185" s="27" t="str">
        <f aca="false">IF(OR(N185="",N185=0),"",ROUND((K185+L185+M185)/N185,1))</f>
        <v/>
      </c>
      <c r="P185" s="27" t="str">
        <f aca="false">IF(OR(O185="",X185="Done",X185="Rejected"),"",COUNTIFS($O$5:$O$204,"&gt;"&amp;O185,$X$5:$X$204,"&lt;&gt;Done",$X$5:$X$204,"&lt;&gt;Rejected")+1)</f>
        <v/>
      </c>
      <c r="Q185" s="26"/>
      <c r="R185" s="26"/>
      <c r="S185" s="28" t="str">
        <f aca="false">IF(R185="","",R185*Settings!$B$5)</f>
        <v/>
      </c>
      <c r="T185" s="28" t="str">
        <f aca="false">IF(Q185="","",Q185*12*Settings!$B$5/8)</f>
        <v/>
      </c>
      <c r="U185" s="27" t="str">
        <f aca="false">IF(OR(S185="",T185="",T185=0),"",ROUND(S185/(T185/12),1))</f>
        <v/>
      </c>
      <c r="V185" s="29"/>
      <c r="W185" s="29"/>
      <c r="X185" s="25"/>
      <c r="Y185" s="25"/>
      <c r="Z185" s="30"/>
      <c r="AA185" s="30"/>
      <c r="AB185" s="27" t="str">
        <f aca="true">IF(Z185="","",IF(AA185="",TODAY(),AA185)-Z185)</f>
        <v/>
      </c>
      <c r="AC185" s="31" t="str">
        <f aca="false">IF(AB185="","",IF(AND(OR(X185="New",X185="Triaged"),AB185&gt;Settings!$B$9),"STALE",""))</f>
        <v/>
      </c>
      <c r="AD185" s="24"/>
    </row>
    <row r="186" customFormat="false" ht="15" hidden="false" customHeight="false" outlineLevel="0" collapsed="false">
      <c r="A186" s="23"/>
      <c r="B186" s="24"/>
      <c r="C186" s="25"/>
      <c r="D186" s="25"/>
      <c r="E186" s="25"/>
      <c r="F186" s="24"/>
      <c r="G186" s="25"/>
      <c r="H186" s="25"/>
      <c r="I186" s="25"/>
      <c r="J186" s="25"/>
      <c r="K186" s="26"/>
      <c r="L186" s="26"/>
      <c r="M186" s="26"/>
      <c r="N186" s="26"/>
      <c r="O186" s="27" t="str">
        <f aca="false">IF(OR(N186="",N186=0),"",ROUND((K186+L186+M186)/N186,1))</f>
        <v/>
      </c>
      <c r="P186" s="27" t="str">
        <f aca="false">IF(OR(O186="",X186="Done",X186="Rejected"),"",COUNTIFS($O$5:$O$204,"&gt;"&amp;O186,$X$5:$X$204,"&lt;&gt;Done",$X$5:$X$204,"&lt;&gt;Rejected")+1)</f>
        <v/>
      </c>
      <c r="Q186" s="26"/>
      <c r="R186" s="26"/>
      <c r="S186" s="28" t="str">
        <f aca="false">IF(R186="","",R186*Settings!$B$5)</f>
        <v/>
      </c>
      <c r="T186" s="28" t="str">
        <f aca="false">IF(Q186="","",Q186*12*Settings!$B$5/8)</f>
        <v/>
      </c>
      <c r="U186" s="27" t="str">
        <f aca="false">IF(OR(S186="",T186="",T186=0),"",ROUND(S186/(T186/12),1))</f>
        <v/>
      </c>
      <c r="V186" s="29"/>
      <c r="W186" s="29"/>
      <c r="X186" s="25"/>
      <c r="Y186" s="25"/>
      <c r="Z186" s="30"/>
      <c r="AA186" s="30"/>
      <c r="AB186" s="27" t="str">
        <f aca="true">IF(Z186="","",IF(AA186="",TODAY(),AA186)-Z186)</f>
        <v/>
      </c>
      <c r="AC186" s="31" t="str">
        <f aca="false">IF(AB186="","",IF(AND(OR(X186="New",X186="Triaged"),AB186&gt;Settings!$B$9),"STALE",""))</f>
        <v/>
      </c>
      <c r="AD186" s="24"/>
    </row>
    <row r="187" customFormat="false" ht="15" hidden="false" customHeight="false" outlineLevel="0" collapsed="false">
      <c r="A187" s="23"/>
      <c r="B187" s="24"/>
      <c r="C187" s="25"/>
      <c r="D187" s="25"/>
      <c r="E187" s="25"/>
      <c r="F187" s="24"/>
      <c r="G187" s="25"/>
      <c r="H187" s="25"/>
      <c r="I187" s="25"/>
      <c r="J187" s="25"/>
      <c r="K187" s="26"/>
      <c r="L187" s="26"/>
      <c r="M187" s="26"/>
      <c r="N187" s="26"/>
      <c r="O187" s="27" t="str">
        <f aca="false">IF(OR(N187="",N187=0),"",ROUND((K187+L187+M187)/N187,1))</f>
        <v/>
      </c>
      <c r="P187" s="27" t="str">
        <f aca="false">IF(OR(O187="",X187="Done",X187="Rejected"),"",COUNTIFS($O$5:$O$204,"&gt;"&amp;O187,$X$5:$X$204,"&lt;&gt;Done",$X$5:$X$204,"&lt;&gt;Rejected")+1)</f>
        <v/>
      </c>
      <c r="Q187" s="26"/>
      <c r="R187" s="26"/>
      <c r="S187" s="28" t="str">
        <f aca="false">IF(R187="","",R187*Settings!$B$5)</f>
        <v/>
      </c>
      <c r="T187" s="28" t="str">
        <f aca="false">IF(Q187="","",Q187*12*Settings!$B$5/8)</f>
        <v/>
      </c>
      <c r="U187" s="27" t="str">
        <f aca="false">IF(OR(S187="",T187="",T187=0),"",ROUND(S187/(T187/12),1))</f>
        <v/>
      </c>
      <c r="V187" s="29"/>
      <c r="W187" s="29"/>
      <c r="X187" s="25"/>
      <c r="Y187" s="25"/>
      <c r="Z187" s="30"/>
      <c r="AA187" s="30"/>
      <c r="AB187" s="27" t="str">
        <f aca="true">IF(Z187="","",IF(AA187="",TODAY(),AA187)-Z187)</f>
        <v/>
      </c>
      <c r="AC187" s="31" t="str">
        <f aca="false">IF(AB187="","",IF(AND(OR(X187="New",X187="Triaged"),AB187&gt;Settings!$B$9),"STALE",""))</f>
        <v/>
      </c>
      <c r="AD187" s="24"/>
    </row>
    <row r="188" customFormat="false" ht="15" hidden="false" customHeight="false" outlineLevel="0" collapsed="false">
      <c r="A188" s="23"/>
      <c r="B188" s="24"/>
      <c r="C188" s="25"/>
      <c r="D188" s="25"/>
      <c r="E188" s="25"/>
      <c r="F188" s="24"/>
      <c r="G188" s="25"/>
      <c r="H188" s="25"/>
      <c r="I188" s="25"/>
      <c r="J188" s="25"/>
      <c r="K188" s="26"/>
      <c r="L188" s="26"/>
      <c r="M188" s="26"/>
      <c r="N188" s="26"/>
      <c r="O188" s="27" t="str">
        <f aca="false">IF(OR(N188="",N188=0),"",ROUND((K188+L188+M188)/N188,1))</f>
        <v/>
      </c>
      <c r="P188" s="27" t="str">
        <f aca="false">IF(OR(O188="",X188="Done",X188="Rejected"),"",COUNTIFS($O$5:$O$204,"&gt;"&amp;O188,$X$5:$X$204,"&lt;&gt;Done",$X$5:$X$204,"&lt;&gt;Rejected")+1)</f>
        <v/>
      </c>
      <c r="Q188" s="26"/>
      <c r="R188" s="26"/>
      <c r="S188" s="28" t="str">
        <f aca="false">IF(R188="","",R188*Settings!$B$5)</f>
        <v/>
      </c>
      <c r="T188" s="28" t="str">
        <f aca="false">IF(Q188="","",Q188*12*Settings!$B$5/8)</f>
        <v/>
      </c>
      <c r="U188" s="27" t="str">
        <f aca="false">IF(OR(S188="",T188="",T188=0),"",ROUND(S188/(T188/12),1))</f>
        <v/>
      </c>
      <c r="V188" s="29"/>
      <c r="W188" s="29"/>
      <c r="X188" s="25"/>
      <c r="Y188" s="25"/>
      <c r="Z188" s="30"/>
      <c r="AA188" s="30"/>
      <c r="AB188" s="27" t="str">
        <f aca="true">IF(Z188="","",IF(AA188="",TODAY(),AA188)-Z188)</f>
        <v/>
      </c>
      <c r="AC188" s="31" t="str">
        <f aca="false">IF(AB188="","",IF(AND(OR(X188="New",X188="Triaged"),AB188&gt;Settings!$B$9),"STALE",""))</f>
        <v/>
      </c>
      <c r="AD188" s="24"/>
    </row>
    <row r="189" customFormat="false" ht="15" hidden="false" customHeight="false" outlineLevel="0" collapsed="false">
      <c r="A189" s="23"/>
      <c r="B189" s="24"/>
      <c r="C189" s="25"/>
      <c r="D189" s="25"/>
      <c r="E189" s="25"/>
      <c r="F189" s="24"/>
      <c r="G189" s="25"/>
      <c r="H189" s="25"/>
      <c r="I189" s="25"/>
      <c r="J189" s="25"/>
      <c r="K189" s="26"/>
      <c r="L189" s="26"/>
      <c r="M189" s="26"/>
      <c r="N189" s="26"/>
      <c r="O189" s="27" t="str">
        <f aca="false">IF(OR(N189="",N189=0),"",ROUND((K189+L189+M189)/N189,1))</f>
        <v/>
      </c>
      <c r="P189" s="27" t="str">
        <f aca="false">IF(OR(O189="",X189="Done",X189="Rejected"),"",COUNTIFS($O$5:$O$204,"&gt;"&amp;O189,$X$5:$X$204,"&lt;&gt;Done",$X$5:$X$204,"&lt;&gt;Rejected")+1)</f>
        <v/>
      </c>
      <c r="Q189" s="26"/>
      <c r="R189" s="26"/>
      <c r="S189" s="28" t="str">
        <f aca="false">IF(R189="","",R189*Settings!$B$5)</f>
        <v/>
      </c>
      <c r="T189" s="28" t="str">
        <f aca="false">IF(Q189="","",Q189*12*Settings!$B$5/8)</f>
        <v/>
      </c>
      <c r="U189" s="27" t="str">
        <f aca="false">IF(OR(S189="",T189="",T189=0),"",ROUND(S189/(T189/12),1))</f>
        <v/>
      </c>
      <c r="V189" s="29"/>
      <c r="W189" s="29"/>
      <c r="X189" s="25"/>
      <c r="Y189" s="25"/>
      <c r="Z189" s="30"/>
      <c r="AA189" s="30"/>
      <c r="AB189" s="27" t="str">
        <f aca="true">IF(Z189="","",IF(AA189="",TODAY(),AA189)-Z189)</f>
        <v/>
      </c>
      <c r="AC189" s="31" t="str">
        <f aca="false">IF(AB189="","",IF(AND(OR(X189="New",X189="Triaged"),AB189&gt;Settings!$B$9),"STALE",""))</f>
        <v/>
      </c>
      <c r="AD189" s="24"/>
    </row>
    <row r="190" customFormat="false" ht="15" hidden="false" customHeight="false" outlineLevel="0" collapsed="false">
      <c r="A190" s="23"/>
      <c r="B190" s="24"/>
      <c r="C190" s="25"/>
      <c r="D190" s="25"/>
      <c r="E190" s="25"/>
      <c r="F190" s="24"/>
      <c r="G190" s="25"/>
      <c r="H190" s="25"/>
      <c r="I190" s="25"/>
      <c r="J190" s="25"/>
      <c r="K190" s="26"/>
      <c r="L190" s="26"/>
      <c r="M190" s="26"/>
      <c r="N190" s="26"/>
      <c r="O190" s="27" t="str">
        <f aca="false">IF(OR(N190="",N190=0),"",ROUND((K190+L190+M190)/N190,1))</f>
        <v/>
      </c>
      <c r="P190" s="27" t="str">
        <f aca="false">IF(OR(O190="",X190="Done",X190="Rejected"),"",COUNTIFS($O$5:$O$204,"&gt;"&amp;O190,$X$5:$X$204,"&lt;&gt;Done",$X$5:$X$204,"&lt;&gt;Rejected")+1)</f>
        <v/>
      </c>
      <c r="Q190" s="26"/>
      <c r="R190" s="26"/>
      <c r="S190" s="28" t="str">
        <f aca="false">IF(R190="","",R190*Settings!$B$5)</f>
        <v/>
      </c>
      <c r="T190" s="28" t="str">
        <f aca="false">IF(Q190="","",Q190*12*Settings!$B$5/8)</f>
        <v/>
      </c>
      <c r="U190" s="27" t="str">
        <f aca="false">IF(OR(S190="",T190="",T190=0),"",ROUND(S190/(T190/12),1))</f>
        <v/>
      </c>
      <c r="V190" s="29"/>
      <c r="W190" s="29"/>
      <c r="X190" s="25"/>
      <c r="Y190" s="25"/>
      <c r="Z190" s="30"/>
      <c r="AA190" s="30"/>
      <c r="AB190" s="27" t="str">
        <f aca="true">IF(Z190="","",IF(AA190="",TODAY(),AA190)-Z190)</f>
        <v/>
      </c>
      <c r="AC190" s="31" t="str">
        <f aca="false">IF(AB190="","",IF(AND(OR(X190="New",X190="Triaged"),AB190&gt;Settings!$B$9),"STALE",""))</f>
        <v/>
      </c>
      <c r="AD190" s="24"/>
    </row>
    <row r="191" customFormat="false" ht="15" hidden="false" customHeight="false" outlineLevel="0" collapsed="false">
      <c r="A191" s="23"/>
      <c r="B191" s="24"/>
      <c r="C191" s="25"/>
      <c r="D191" s="25"/>
      <c r="E191" s="25"/>
      <c r="F191" s="24"/>
      <c r="G191" s="25"/>
      <c r="H191" s="25"/>
      <c r="I191" s="25"/>
      <c r="J191" s="25"/>
      <c r="K191" s="26"/>
      <c r="L191" s="26"/>
      <c r="M191" s="26"/>
      <c r="N191" s="26"/>
      <c r="O191" s="27" t="str">
        <f aca="false">IF(OR(N191="",N191=0),"",ROUND((K191+L191+M191)/N191,1))</f>
        <v/>
      </c>
      <c r="P191" s="27" t="str">
        <f aca="false">IF(OR(O191="",X191="Done",X191="Rejected"),"",COUNTIFS($O$5:$O$204,"&gt;"&amp;O191,$X$5:$X$204,"&lt;&gt;Done",$X$5:$X$204,"&lt;&gt;Rejected")+1)</f>
        <v/>
      </c>
      <c r="Q191" s="26"/>
      <c r="R191" s="26"/>
      <c r="S191" s="28" t="str">
        <f aca="false">IF(R191="","",R191*Settings!$B$5)</f>
        <v/>
      </c>
      <c r="T191" s="28" t="str">
        <f aca="false">IF(Q191="","",Q191*12*Settings!$B$5/8)</f>
        <v/>
      </c>
      <c r="U191" s="27" t="str">
        <f aca="false">IF(OR(S191="",T191="",T191=0),"",ROUND(S191/(T191/12),1))</f>
        <v/>
      </c>
      <c r="V191" s="29"/>
      <c r="W191" s="29"/>
      <c r="X191" s="25"/>
      <c r="Y191" s="25"/>
      <c r="Z191" s="30"/>
      <c r="AA191" s="30"/>
      <c r="AB191" s="27" t="str">
        <f aca="true">IF(Z191="","",IF(AA191="",TODAY(),AA191)-Z191)</f>
        <v/>
      </c>
      <c r="AC191" s="31" t="str">
        <f aca="false">IF(AB191="","",IF(AND(OR(X191="New",X191="Triaged"),AB191&gt;Settings!$B$9),"STALE",""))</f>
        <v/>
      </c>
      <c r="AD191" s="24"/>
    </row>
    <row r="192" customFormat="false" ht="15" hidden="false" customHeight="false" outlineLevel="0" collapsed="false">
      <c r="A192" s="23"/>
      <c r="B192" s="24"/>
      <c r="C192" s="25"/>
      <c r="D192" s="25"/>
      <c r="E192" s="25"/>
      <c r="F192" s="24"/>
      <c r="G192" s="25"/>
      <c r="H192" s="25"/>
      <c r="I192" s="25"/>
      <c r="J192" s="25"/>
      <c r="K192" s="26"/>
      <c r="L192" s="26"/>
      <c r="M192" s="26"/>
      <c r="N192" s="26"/>
      <c r="O192" s="27" t="str">
        <f aca="false">IF(OR(N192="",N192=0),"",ROUND((K192+L192+M192)/N192,1))</f>
        <v/>
      </c>
      <c r="P192" s="27" t="str">
        <f aca="false">IF(OR(O192="",X192="Done",X192="Rejected"),"",COUNTIFS($O$5:$O$204,"&gt;"&amp;O192,$X$5:$X$204,"&lt;&gt;Done",$X$5:$X$204,"&lt;&gt;Rejected")+1)</f>
        <v/>
      </c>
      <c r="Q192" s="26"/>
      <c r="R192" s="26"/>
      <c r="S192" s="28" t="str">
        <f aca="false">IF(R192="","",R192*Settings!$B$5)</f>
        <v/>
      </c>
      <c r="T192" s="28" t="str">
        <f aca="false">IF(Q192="","",Q192*12*Settings!$B$5/8)</f>
        <v/>
      </c>
      <c r="U192" s="27" t="str">
        <f aca="false">IF(OR(S192="",T192="",T192=0),"",ROUND(S192/(T192/12),1))</f>
        <v/>
      </c>
      <c r="V192" s="29"/>
      <c r="W192" s="29"/>
      <c r="X192" s="25"/>
      <c r="Y192" s="25"/>
      <c r="Z192" s="30"/>
      <c r="AA192" s="30"/>
      <c r="AB192" s="27" t="str">
        <f aca="true">IF(Z192="","",IF(AA192="",TODAY(),AA192)-Z192)</f>
        <v/>
      </c>
      <c r="AC192" s="31" t="str">
        <f aca="false">IF(AB192="","",IF(AND(OR(X192="New",X192="Triaged"),AB192&gt;Settings!$B$9),"STALE",""))</f>
        <v/>
      </c>
      <c r="AD192" s="24"/>
    </row>
    <row r="193" customFormat="false" ht="15" hidden="false" customHeight="false" outlineLevel="0" collapsed="false">
      <c r="A193" s="23"/>
      <c r="B193" s="24"/>
      <c r="C193" s="25"/>
      <c r="D193" s="25"/>
      <c r="E193" s="25"/>
      <c r="F193" s="24"/>
      <c r="G193" s="25"/>
      <c r="H193" s="25"/>
      <c r="I193" s="25"/>
      <c r="J193" s="25"/>
      <c r="K193" s="26"/>
      <c r="L193" s="26"/>
      <c r="M193" s="26"/>
      <c r="N193" s="26"/>
      <c r="O193" s="27" t="str">
        <f aca="false">IF(OR(N193="",N193=0),"",ROUND((K193+L193+M193)/N193,1))</f>
        <v/>
      </c>
      <c r="P193" s="27" t="str">
        <f aca="false">IF(OR(O193="",X193="Done",X193="Rejected"),"",COUNTIFS($O$5:$O$204,"&gt;"&amp;O193,$X$5:$X$204,"&lt;&gt;Done",$X$5:$X$204,"&lt;&gt;Rejected")+1)</f>
        <v/>
      </c>
      <c r="Q193" s="26"/>
      <c r="R193" s="26"/>
      <c r="S193" s="28" t="str">
        <f aca="false">IF(R193="","",R193*Settings!$B$5)</f>
        <v/>
      </c>
      <c r="T193" s="28" t="str">
        <f aca="false">IF(Q193="","",Q193*12*Settings!$B$5/8)</f>
        <v/>
      </c>
      <c r="U193" s="27" t="str">
        <f aca="false">IF(OR(S193="",T193="",T193=0),"",ROUND(S193/(T193/12),1))</f>
        <v/>
      </c>
      <c r="V193" s="29"/>
      <c r="W193" s="29"/>
      <c r="X193" s="25"/>
      <c r="Y193" s="25"/>
      <c r="Z193" s="30"/>
      <c r="AA193" s="30"/>
      <c r="AB193" s="27" t="str">
        <f aca="true">IF(Z193="","",IF(AA193="",TODAY(),AA193)-Z193)</f>
        <v/>
      </c>
      <c r="AC193" s="31" t="str">
        <f aca="false">IF(AB193="","",IF(AND(OR(X193="New",X193="Triaged"),AB193&gt;Settings!$B$9),"STALE",""))</f>
        <v/>
      </c>
      <c r="AD193" s="24"/>
    </row>
    <row r="194" customFormat="false" ht="15" hidden="false" customHeight="false" outlineLevel="0" collapsed="false">
      <c r="A194" s="23"/>
      <c r="B194" s="24"/>
      <c r="C194" s="25"/>
      <c r="D194" s="25"/>
      <c r="E194" s="25"/>
      <c r="F194" s="24"/>
      <c r="G194" s="25"/>
      <c r="H194" s="25"/>
      <c r="I194" s="25"/>
      <c r="J194" s="25"/>
      <c r="K194" s="26"/>
      <c r="L194" s="26"/>
      <c r="M194" s="26"/>
      <c r="N194" s="26"/>
      <c r="O194" s="27" t="str">
        <f aca="false">IF(OR(N194="",N194=0),"",ROUND((K194+L194+M194)/N194,1))</f>
        <v/>
      </c>
      <c r="P194" s="27" t="str">
        <f aca="false">IF(OR(O194="",X194="Done",X194="Rejected"),"",COUNTIFS($O$5:$O$204,"&gt;"&amp;O194,$X$5:$X$204,"&lt;&gt;Done",$X$5:$X$204,"&lt;&gt;Rejected")+1)</f>
        <v/>
      </c>
      <c r="Q194" s="26"/>
      <c r="R194" s="26"/>
      <c r="S194" s="28" t="str">
        <f aca="false">IF(R194="","",R194*Settings!$B$5)</f>
        <v/>
      </c>
      <c r="T194" s="28" t="str">
        <f aca="false">IF(Q194="","",Q194*12*Settings!$B$5/8)</f>
        <v/>
      </c>
      <c r="U194" s="27" t="str">
        <f aca="false">IF(OR(S194="",T194="",T194=0),"",ROUND(S194/(T194/12),1))</f>
        <v/>
      </c>
      <c r="V194" s="29"/>
      <c r="W194" s="29"/>
      <c r="X194" s="25"/>
      <c r="Y194" s="25"/>
      <c r="Z194" s="30"/>
      <c r="AA194" s="30"/>
      <c r="AB194" s="27" t="str">
        <f aca="true">IF(Z194="","",IF(AA194="",TODAY(),AA194)-Z194)</f>
        <v/>
      </c>
      <c r="AC194" s="31" t="str">
        <f aca="false">IF(AB194="","",IF(AND(OR(X194="New",X194="Triaged"),AB194&gt;Settings!$B$9),"STALE",""))</f>
        <v/>
      </c>
      <c r="AD194" s="24"/>
    </row>
    <row r="195" customFormat="false" ht="15" hidden="false" customHeight="false" outlineLevel="0" collapsed="false">
      <c r="A195" s="23"/>
      <c r="B195" s="24"/>
      <c r="C195" s="25"/>
      <c r="D195" s="25"/>
      <c r="E195" s="25"/>
      <c r="F195" s="24"/>
      <c r="G195" s="25"/>
      <c r="H195" s="25"/>
      <c r="I195" s="25"/>
      <c r="J195" s="25"/>
      <c r="K195" s="26"/>
      <c r="L195" s="26"/>
      <c r="M195" s="26"/>
      <c r="N195" s="26"/>
      <c r="O195" s="27" t="str">
        <f aca="false">IF(OR(N195="",N195=0),"",ROUND((K195+L195+M195)/N195,1))</f>
        <v/>
      </c>
      <c r="P195" s="27" t="str">
        <f aca="false">IF(OR(O195="",X195="Done",X195="Rejected"),"",COUNTIFS($O$5:$O$204,"&gt;"&amp;O195,$X$5:$X$204,"&lt;&gt;Done",$X$5:$X$204,"&lt;&gt;Rejected")+1)</f>
        <v/>
      </c>
      <c r="Q195" s="26"/>
      <c r="R195" s="26"/>
      <c r="S195" s="28" t="str">
        <f aca="false">IF(R195="","",R195*Settings!$B$5)</f>
        <v/>
      </c>
      <c r="T195" s="28" t="str">
        <f aca="false">IF(Q195="","",Q195*12*Settings!$B$5/8)</f>
        <v/>
      </c>
      <c r="U195" s="27" t="str">
        <f aca="false">IF(OR(S195="",T195="",T195=0),"",ROUND(S195/(T195/12),1))</f>
        <v/>
      </c>
      <c r="V195" s="29"/>
      <c r="W195" s="29"/>
      <c r="X195" s="25"/>
      <c r="Y195" s="25"/>
      <c r="Z195" s="30"/>
      <c r="AA195" s="30"/>
      <c r="AB195" s="27" t="str">
        <f aca="true">IF(Z195="","",IF(AA195="",TODAY(),AA195)-Z195)</f>
        <v/>
      </c>
      <c r="AC195" s="31" t="str">
        <f aca="false">IF(AB195="","",IF(AND(OR(X195="New",X195="Triaged"),AB195&gt;Settings!$B$9),"STALE",""))</f>
        <v/>
      </c>
      <c r="AD195" s="24"/>
    </row>
    <row r="196" customFormat="false" ht="15" hidden="false" customHeight="false" outlineLevel="0" collapsed="false">
      <c r="A196" s="23"/>
      <c r="B196" s="24"/>
      <c r="C196" s="25"/>
      <c r="D196" s="25"/>
      <c r="E196" s="25"/>
      <c r="F196" s="24"/>
      <c r="G196" s="25"/>
      <c r="H196" s="25"/>
      <c r="I196" s="25"/>
      <c r="J196" s="25"/>
      <c r="K196" s="26"/>
      <c r="L196" s="26"/>
      <c r="M196" s="26"/>
      <c r="N196" s="26"/>
      <c r="O196" s="27" t="str">
        <f aca="false">IF(OR(N196="",N196=0),"",ROUND((K196+L196+M196)/N196,1))</f>
        <v/>
      </c>
      <c r="P196" s="27" t="str">
        <f aca="false">IF(OR(O196="",X196="Done",X196="Rejected"),"",COUNTIFS($O$5:$O$204,"&gt;"&amp;O196,$X$5:$X$204,"&lt;&gt;Done",$X$5:$X$204,"&lt;&gt;Rejected")+1)</f>
        <v/>
      </c>
      <c r="Q196" s="26"/>
      <c r="R196" s="26"/>
      <c r="S196" s="28" t="str">
        <f aca="false">IF(R196="","",R196*Settings!$B$5)</f>
        <v/>
      </c>
      <c r="T196" s="28" t="str">
        <f aca="false">IF(Q196="","",Q196*12*Settings!$B$5/8)</f>
        <v/>
      </c>
      <c r="U196" s="27" t="str">
        <f aca="false">IF(OR(S196="",T196="",T196=0),"",ROUND(S196/(T196/12),1))</f>
        <v/>
      </c>
      <c r="V196" s="29"/>
      <c r="W196" s="29"/>
      <c r="X196" s="25"/>
      <c r="Y196" s="25"/>
      <c r="Z196" s="30"/>
      <c r="AA196" s="30"/>
      <c r="AB196" s="27" t="str">
        <f aca="true">IF(Z196="","",IF(AA196="",TODAY(),AA196)-Z196)</f>
        <v/>
      </c>
      <c r="AC196" s="31" t="str">
        <f aca="false">IF(AB196="","",IF(AND(OR(X196="New",X196="Triaged"),AB196&gt;Settings!$B$9),"STALE",""))</f>
        <v/>
      </c>
      <c r="AD196" s="24"/>
    </row>
    <row r="197" customFormat="false" ht="15" hidden="false" customHeight="false" outlineLevel="0" collapsed="false">
      <c r="A197" s="23"/>
      <c r="B197" s="24"/>
      <c r="C197" s="25"/>
      <c r="D197" s="25"/>
      <c r="E197" s="25"/>
      <c r="F197" s="24"/>
      <c r="G197" s="25"/>
      <c r="H197" s="25"/>
      <c r="I197" s="25"/>
      <c r="J197" s="25"/>
      <c r="K197" s="26"/>
      <c r="L197" s="26"/>
      <c r="M197" s="26"/>
      <c r="N197" s="26"/>
      <c r="O197" s="27" t="str">
        <f aca="false">IF(OR(N197="",N197=0),"",ROUND((K197+L197+M197)/N197,1))</f>
        <v/>
      </c>
      <c r="P197" s="27" t="str">
        <f aca="false">IF(OR(O197="",X197="Done",X197="Rejected"),"",COUNTIFS($O$5:$O$204,"&gt;"&amp;O197,$X$5:$X$204,"&lt;&gt;Done",$X$5:$X$204,"&lt;&gt;Rejected")+1)</f>
        <v/>
      </c>
      <c r="Q197" s="26"/>
      <c r="R197" s="26"/>
      <c r="S197" s="28" t="str">
        <f aca="false">IF(R197="","",R197*Settings!$B$5)</f>
        <v/>
      </c>
      <c r="T197" s="28" t="str">
        <f aca="false">IF(Q197="","",Q197*12*Settings!$B$5/8)</f>
        <v/>
      </c>
      <c r="U197" s="27" t="str">
        <f aca="false">IF(OR(S197="",T197="",T197=0),"",ROUND(S197/(T197/12),1))</f>
        <v/>
      </c>
      <c r="V197" s="29"/>
      <c r="W197" s="29"/>
      <c r="X197" s="25"/>
      <c r="Y197" s="25"/>
      <c r="Z197" s="30"/>
      <c r="AA197" s="30"/>
      <c r="AB197" s="27" t="str">
        <f aca="true">IF(Z197="","",IF(AA197="",TODAY(),AA197)-Z197)</f>
        <v/>
      </c>
      <c r="AC197" s="31" t="str">
        <f aca="false">IF(AB197="","",IF(AND(OR(X197="New",X197="Triaged"),AB197&gt;Settings!$B$9),"STALE",""))</f>
        <v/>
      </c>
      <c r="AD197" s="24"/>
    </row>
    <row r="198" customFormat="false" ht="15" hidden="false" customHeight="false" outlineLevel="0" collapsed="false">
      <c r="A198" s="23"/>
      <c r="B198" s="24"/>
      <c r="C198" s="25"/>
      <c r="D198" s="25"/>
      <c r="E198" s="25"/>
      <c r="F198" s="24"/>
      <c r="G198" s="25"/>
      <c r="H198" s="25"/>
      <c r="I198" s="25"/>
      <c r="J198" s="25"/>
      <c r="K198" s="26"/>
      <c r="L198" s="26"/>
      <c r="M198" s="26"/>
      <c r="N198" s="26"/>
      <c r="O198" s="27" t="str">
        <f aca="false">IF(OR(N198="",N198=0),"",ROUND((K198+L198+M198)/N198,1))</f>
        <v/>
      </c>
      <c r="P198" s="27" t="str">
        <f aca="false">IF(OR(O198="",X198="Done",X198="Rejected"),"",COUNTIFS($O$5:$O$204,"&gt;"&amp;O198,$X$5:$X$204,"&lt;&gt;Done",$X$5:$X$204,"&lt;&gt;Rejected")+1)</f>
        <v/>
      </c>
      <c r="Q198" s="26"/>
      <c r="R198" s="26"/>
      <c r="S198" s="28" t="str">
        <f aca="false">IF(R198="","",R198*Settings!$B$5)</f>
        <v/>
      </c>
      <c r="T198" s="28" t="str">
        <f aca="false">IF(Q198="","",Q198*12*Settings!$B$5/8)</f>
        <v/>
      </c>
      <c r="U198" s="27" t="str">
        <f aca="false">IF(OR(S198="",T198="",T198=0),"",ROUND(S198/(T198/12),1))</f>
        <v/>
      </c>
      <c r="V198" s="29"/>
      <c r="W198" s="29"/>
      <c r="X198" s="25"/>
      <c r="Y198" s="25"/>
      <c r="Z198" s="30"/>
      <c r="AA198" s="30"/>
      <c r="AB198" s="27" t="str">
        <f aca="true">IF(Z198="","",IF(AA198="",TODAY(),AA198)-Z198)</f>
        <v/>
      </c>
      <c r="AC198" s="31" t="str">
        <f aca="false">IF(AB198="","",IF(AND(OR(X198="New",X198="Triaged"),AB198&gt;Settings!$B$9),"STALE",""))</f>
        <v/>
      </c>
      <c r="AD198" s="24"/>
    </row>
    <row r="199" customFormat="false" ht="15" hidden="false" customHeight="false" outlineLevel="0" collapsed="false">
      <c r="A199" s="23"/>
      <c r="B199" s="24"/>
      <c r="C199" s="25"/>
      <c r="D199" s="25"/>
      <c r="E199" s="25"/>
      <c r="F199" s="24"/>
      <c r="G199" s="25"/>
      <c r="H199" s="25"/>
      <c r="I199" s="25"/>
      <c r="J199" s="25"/>
      <c r="K199" s="26"/>
      <c r="L199" s="26"/>
      <c r="M199" s="26"/>
      <c r="N199" s="26"/>
      <c r="O199" s="27" t="str">
        <f aca="false">IF(OR(N199="",N199=0),"",ROUND((K199+L199+M199)/N199,1))</f>
        <v/>
      </c>
      <c r="P199" s="27" t="str">
        <f aca="false">IF(OR(O199="",X199="Done",X199="Rejected"),"",COUNTIFS($O$5:$O$204,"&gt;"&amp;O199,$X$5:$X$204,"&lt;&gt;Done",$X$5:$X$204,"&lt;&gt;Rejected")+1)</f>
        <v/>
      </c>
      <c r="Q199" s="26"/>
      <c r="R199" s="26"/>
      <c r="S199" s="28" t="str">
        <f aca="false">IF(R199="","",R199*Settings!$B$5)</f>
        <v/>
      </c>
      <c r="T199" s="28" t="str">
        <f aca="false">IF(Q199="","",Q199*12*Settings!$B$5/8)</f>
        <v/>
      </c>
      <c r="U199" s="27" t="str">
        <f aca="false">IF(OR(S199="",T199="",T199=0),"",ROUND(S199/(T199/12),1))</f>
        <v/>
      </c>
      <c r="V199" s="29"/>
      <c r="W199" s="29"/>
      <c r="X199" s="25"/>
      <c r="Y199" s="25"/>
      <c r="Z199" s="30"/>
      <c r="AA199" s="30"/>
      <c r="AB199" s="27" t="str">
        <f aca="true">IF(Z199="","",IF(AA199="",TODAY(),AA199)-Z199)</f>
        <v/>
      </c>
      <c r="AC199" s="31" t="str">
        <f aca="false">IF(AB199="","",IF(AND(OR(X199="New",X199="Triaged"),AB199&gt;Settings!$B$9),"STALE",""))</f>
        <v/>
      </c>
      <c r="AD199" s="24"/>
    </row>
    <row r="200" customFormat="false" ht="15" hidden="false" customHeight="false" outlineLevel="0" collapsed="false">
      <c r="A200" s="23"/>
      <c r="B200" s="24"/>
      <c r="C200" s="25"/>
      <c r="D200" s="25"/>
      <c r="E200" s="25"/>
      <c r="F200" s="24"/>
      <c r="G200" s="25"/>
      <c r="H200" s="25"/>
      <c r="I200" s="25"/>
      <c r="J200" s="25"/>
      <c r="K200" s="26"/>
      <c r="L200" s="26"/>
      <c r="M200" s="26"/>
      <c r="N200" s="26"/>
      <c r="O200" s="27" t="str">
        <f aca="false">IF(OR(N200="",N200=0),"",ROUND((K200+L200+M200)/N200,1))</f>
        <v/>
      </c>
      <c r="P200" s="27" t="str">
        <f aca="false">IF(OR(O200="",X200="Done",X200="Rejected"),"",COUNTIFS($O$5:$O$204,"&gt;"&amp;O200,$X$5:$X$204,"&lt;&gt;Done",$X$5:$X$204,"&lt;&gt;Rejected")+1)</f>
        <v/>
      </c>
      <c r="Q200" s="26"/>
      <c r="R200" s="26"/>
      <c r="S200" s="28" t="str">
        <f aca="false">IF(R200="","",R200*Settings!$B$5)</f>
        <v/>
      </c>
      <c r="T200" s="28" t="str">
        <f aca="false">IF(Q200="","",Q200*12*Settings!$B$5/8)</f>
        <v/>
      </c>
      <c r="U200" s="27" t="str">
        <f aca="false">IF(OR(S200="",T200="",T200=0),"",ROUND(S200/(T200/12),1))</f>
        <v/>
      </c>
      <c r="V200" s="29"/>
      <c r="W200" s="29"/>
      <c r="X200" s="25"/>
      <c r="Y200" s="25"/>
      <c r="Z200" s="30"/>
      <c r="AA200" s="30"/>
      <c r="AB200" s="27" t="str">
        <f aca="true">IF(Z200="","",IF(AA200="",TODAY(),AA200)-Z200)</f>
        <v/>
      </c>
      <c r="AC200" s="31" t="str">
        <f aca="false">IF(AB200="","",IF(AND(OR(X200="New",X200="Triaged"),AB200&gt;Settings!$B$9),"STALE",""))</f>
        <v/>
      </c>
      <c r="AD200" s="24"/>
    </row>
    <row r="201" customFormat="false" ht="15" hidden="false" customHeight="false" outlineLevel="0" collapsed="false">
      <c r="A201" s="23"/>
      <c r="B201" s="24"/>
      <c r="C201" s="25"/>
      <c r="D201" s="25"/>
      <c r="E201" s="25"/>
      <c r="F201" s="24"/>
      <c r="G201" s="25"/>
      <c r="H201" s="25"/>
      <c r="I201" s="25"/>
      <c r="J201" s="25"/>
      <c r="K201" s="26"/>
      <c r="L201" s="26"/>
      <c r="M201" s="26"/>
      <c r="N201" s="26"/>
      <c r="O201" s="27" t="str">
        <f aca="false">IF(OR(N201="",N201=0),"",ROUND((K201+L201+M201)/N201,1))</f>
        <v/>
      </c>
      <c r="P201" s="27" t="str">
        <f aca="false">IF(OR(O201="",X201="Done",X201="Rejected"),"",COUNTIFS($O$5:$O$204,"&gt;"&amp;O201,$X$5:$X$204,"&lt;&gt;Done",$X$5:$X$204,"&lt;&gt;Rejected")+1)</f>
        <v/>
      </c>
      <c r="Q201" s="26"/>
      <c r="R201" s="26"/>
      <c r="S201" s="28" t="str">
        <f aca="false">IF(R201="","",R201*Settings!$B$5)</f>
        <v/>
      </c>
      <c r="T201" s="28" t="str">
        <f aca="false">IF(Q201="","",Q201*12*Settings!$B$5/8)</f>
        <v/>
      </c>
      <c r="U201" s="27" t="str">
        <f aca="false">IF(OR(S201="",T201="",T201=0),"",ROUND(S201/(T201/12),1))</f>
        <v/>
      </c>
      <c r="V201" s="29"/>
      <c r="W201" s="29"/>
      <c r="X201" s="25"/>
      <c r="Y201" s="25"/>
      <c r="Z201" s="30"/>
      <c r="AA201" s="30"/>
      <c r="AB201" s="27" t="str">
        <f aca="true">IF(Z201="","",IF(AA201="",TODAY(),AA201)-Z201)</f>
        <v/>
      </c>
      <c r="AC201" s="31" t="str">
        <f aca="false">IF(AB201="","",IF(AND(OR(X201="New",X201="Triaged"),AB201&gt;Settings!$B$9),"STALE",""))</f>
        <v/>
      </c>
      <c r="AD201" s="24"/>
    </row>
    <row r="202" customFormat="false" ht="15" hidden="false" customHeight="false" outlineLevel="0" collapsed="false">
      <c r="A202" s="23"/>
      <c r="B202" s="24"/>
      <c r="C202" s="25"/>
      <c r="D202" s="25"/>
      <c r="E202" s="25"/>
      <c r="F202" s="24"/>
      <c r="G202" s="25"/>
      <c r="H202" s="25"/>
      <c r="I202" s="25"/>
      <c r="J202" s="25"/>
      <c r="K202" s="26"/>
      <c r="L202" s="26"/>
      <c r="M202" s="26"/>
      <c r="N202" s="26"/>
      <c r="O202" s="27" t="str">
        <f aca="false">IF(OR(N202="",N202=0),"",ROUND((K202+L202+M202)/N202,1))</f>
        <v/>
      </c>
      <c r="P202" s="27" t="str">
        <f aca="false">IF(OR(O202="",X202="Done",X202="Rejected"),"",COUNTIFS($O$5:$O$204,"&gt;"&amp;O202,$X$5:$X$204,"&lt;&gt;Done",$X$5:$X$204,"&lt;&gt;Rejected")+1)</f>
        <v/>
      </c>
      <c r="Q202" s="26"/>
      <c r="R202" s="26"/>
      <c r="S202" s="28" t="str">
        <f aca="false">IF(R202="","",R202*Settings!$B$5)</f>
        <v/>
      </c>
      <c r="T202" s="28" t="str">
        <f aca="false">IF(Q202="","",Q202*12*Settings!$B$5/8)</f>
        <v/>
      </c>
      <c r="U202" s="27" t="str">
        <f aca="false">IF(OR(S202="",T202="",T202=0),"",ROUND(S202/(T202/12),1))</f>
        <v/>
      </c>
      <c r="V202" s="29"/>
      <c r="W202" s="29"/>
      <c r="X202" s="25"/>
      <c r="Y202" s="25"/>
      <c r="Z202" s="30"/>
      <c r="AA202" s="30"/>
      <c r="AB202" s="27" t="str">
        <f aca="true">IF(Z202="","",IF(AA202="",TODAY(),AA202)-Z202)</f>
        <v/>
      </c>
      <c r="AC202" s="31" t="str">
        <f aca="false">IF(AB202="","",IF(AND(OR(X202="New",X202="Triaged"),AB202&gt;Settings!$B$9),"STALE",""))</f>
        <v/>
      </c>
      <c r="AD202" s="24"/>
    </row>
    <row r="203" customFormat="false" ht="15" hidden="false" customHeight="false" outlineLevel="0" collapsed="false">
      <c r="A203" s="23"/>
      <c r="B203" s="24"/>
      <c r="C203" s="25"/>
      <c r="D203" s="25"/>
      <c r="E203" s="25"/>
      <c r="F203" s="24"/>
      <c r="G203" s="25"/>
      <c r="H203" s="25"/>
      <c r="I203" s="25"/>
      <c r="J203" s="25"/>
      <c r="K203" s="26"/>
      <c r="L203" s="26"/>
      <c r="M203" s="26"/>
      <c r="N203" s="26"/>
      <c r="O203" s="27" t="str">
        <f aca="false">IF(OR(N203="",N203=0),"",ROUND((K203+L203+M203)/N203,1))</f>
        <v/>
      </c>
      <c r="P203" s="27" t="str">
        <f aca="false">IF(OR(O203="",X203="Done",X203="Rejected"),"",COUNTIFS($O$5:$O$204,"&gt;"&amp;O203,$X$5:$X$204,"&lt;&gt;Done",$X$5:$X$204,"&lt;&gt;Rejected")+1)</f>
        <v/>
      </c>
      <c r="Q203" s="26"/>
      <c r="R203" s="26"/>
      <c r="S203" s="28" t="str">
        <f aca="false">IF(R203="","",R203*Settings!$B$5)</f>
        <v/>
      </c>
      <c r="T203" s="28" t="str">
        <f aca="false">IF(Q203="","",Q203*12*Settings!$B$5/8)</f>
        <v/>
      </c>
      <c r="U203" s="27" t="str">
        <f aca="false">IF(OR(S203="",T203="",T203=0),"",ROUND(S203/(T203/12),1))</f>
        <v/>
      </c>
      <c r="V203" s="29"/>
      <c r="W203" s="29"/>
      <c r="X203" s="25"/>
      <c r="Y203" s="25"/>
      <c r="Z203" s="30"/>
      <c r="AA203" s="30"/>
      <c r="AB203" s="27" t="str">
        <f aca="true">IF(Z203="","",IF(AA203="",TODAY(),AA203)-Z203)</f>
        <v/>
      </c>
      <c r="AC203" s="31" t="str">
        <f aca="false">IF(AB203="","",IF(AND(OR(X203="New",X203="Triaged"),AB203&gt;Settings!$B$9),"STALE",""))</f>
        <v/>
      </c>
      <c r="AD203" s="24"/>
    </row>
    <row r="204" customFormat="false" ht="15" hidden="false" customHeight="false" outlineLevel="0" collapsed="false">
      <c r="A204" s="23"/>
      <c r="B204" s="24"/>
      <c r="C204" s="25"/>
      <c r="D204" s="25"/>
      <c r="E204" s="25"/>
      <c r="F204" s="24"/>
      <c r="G204" s="25"/>
      <c r="H204" s="25"/>
      <c r="I204" s="25"/>
      <c r="J204" s="25"/>
      <c r="K204" s="26"/>
      <c r="L204" s="26"/>
      <c r="M204" s="26"/>
      <c r="N204" s="26"/>
      <c r="O204" s="27" t="str">
        <f aca="false">IF(OR(N204="",N204=0),"",ROUND((K204+L204+M204)/N204,1))</f>
        <v/>
      </c>
      <c r="P204" s="27" t="str">
        <f aca="false">IF(OR(O204="",X204="Done",X204="Rejected"),"",COUNTIFS($O$5:$O$204,"&gt;"&amp;O204,$X$5:$X$204,"&lt;&gt;Done",$X$5:$X$204,"&lt;&gt;Rejected")+1)</f>
        <v/>
      </c>
      <c r="Q204" s="26"/>
      <c r="R204" s="26"/>
      <c r="S204" s="28" t="str">
        <f aca="false">IF(R204="","",R204*Settings!$B$5)</f>
        <v/>
      </c>
      <c r="T204" s="28" t="str">
        <f aca="false">IF(Q204="","",Q204*12*Settings!$B$5/8)</f>
        <v/>
      </c>
      <c r="U204" s="27" t="str">
        <f aca="false">IF(OR(S204="",T204="",T204=0),"",ROUND(S204/(T204/12),1))</f>
        <v/>
      </c>
      <c r="V204" s="29"/>
      <c r="W204" s="29"/>
      <c r="X204" s="25"/>
      <c r="Y204" s="25"/>
      <c r="Z204" s="30"/>
      <c r="AA204" s="30"/>
      <c r="AB204" s="27" t="str">
        <f aca="true">IF(Z204="","",IF(AA204="",TODAY(),AA204)-Z204)</f>
        <v/>
      </c>
      <c r="AC204" s="31" t="str">
        <f aca="false">IF(AB204="","",IF(AND(OR(X204="New",X204="Triaged"),AB204&gt;Settings!$B$9),"STALE",""))</f>
        <v/>
      </c>
      <c r="AD204" s="24"/>
    </row>
  </sheetData>
  <autoFilter ref="A4:AD204"/>
  <conditionalFormatting sqref="AC5:AC204">
    <cfRule type="cellIs" priority="2" operator="equal" aboveAverage="0" equalAverage="0" bottom="0" percent="0" rank="0" text="" dxfId="13">
      <formula>"STALE"</formula>
    </cfRule>
  </conditionalFormatting>
  <conditionalFormatting sqref="P5:P204">
    <cfRule type="cellIs" priority="3" operator="between" aboveAverage="0" equalAverage="0" bottom="0" percent="0" rank="0" text="" dxfId="14">
      <formula>1</formula>
      <formula>5</formula>
    </cfRule>
  </conditionalFormatting>
  <conditionalFormatting sqref="J5:J204">
    <cfRule type="expression" priority="4" aboveAverage="0" equalAverage="0" bottom="0" percent="0" rank="0" text="" dxfId="2">
      <formula>OR(J5="P1",J5="P2")</formula>
    </cfRule>
  </conditionalFormatting>
  <conditionalFormatting sqref="C5:C204">
    <cfRule type="expression" priority="5" aboveAverage="0" equalAverage="0" bottom="0" percent="0" rank="0" text="" dxfId="15">
      <formula>C5="Tech Debt"</formula>
    </cfRule>
  </conditionalFormatting>
  <dataValidations count="13">
    <dataValidation allowBlank="true" error="Pick a value from the list (edit the Lists tab to add values)." errorStyle="stop" operator="between" showDropDown="false" showErrorMessage="false" showInputMessage="false" sqref="C5:C204" type="list">
      <formula1>Lists!$A$5:$A$9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D5:D204" type="list">
      <formula1>Lists!$B$5:$B$10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E5:E204" type="list">
      <formula1>Lists!$C$5:$C$16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G5:G204" type="list">
      <formula1>Lists!$I$5:$I$9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H5:H204" type="list">
      <formula1>Lists!$H$5:$H$9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I5:I204" type="list">
      <formula1>Lists!$G$5:$G$6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J5:J204" type="list">
      <formula1>Lists!$J$5:$J$9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K5:K204" type="list">
      <formula1>Lists!$F$5:$F$11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L5:L204" type="list">
      <formula1>Lists!$F$5:$F$11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M5:M204" type="list">
      <formula1>Lists!$F$5:$F$11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N5:N204" type="list">
      <formula1>Lists!$F$5:$F$11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X5:X204" type="list">
      <formula1>Lists!$D$5:$D$12</formula1>
      <formula2>0</formula2>
    </dataValidation>
    <dataValidation allowBlank="true" error="Pick a value from the list (edit the Lists tab to add values)." errorStyle="stop" operator="between" showDropDown="false" showErrorMessage="false" showInputMessage="false" sqref="Y5:Y204" type="list">
      <formula1>Lists!$E$5:$E$10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3"/>
  </cols>
  <sheetData>
    <row r="1" customFormat="false" ht="19.7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5" t="s">
        <v>250</v>
      </c>
    </row>
    <row r="5" customFormat="false" ht="23.85" hidden="false" customHeight="false" outlineLevel="0" collapsed="false">
      <c r="A5" s="11" t="s">
        <v>251</v>
      </c>
      <c r="B5" s="11" t="s">
        <v>252</v>
      </c>
      <c r="C5" s="11" t="s">
        <v>253</v>
      </c>
      <c r="D5" s="11" t="s">
        <v>254</v>
      </c>
      <c r="E5" s="11" t="s">
        <v>255</v>
      </c>
      <c r="F5" s="11" t="s">
        <v>256</v>
      </c>
      <c r="G5" s="11" t="s">
        <v>257</v>
      </c>
      <c r="H5" s="11" t="s">
        <v>258</v>
      </c>
      <c r="J5" s="5" t="s">
        <v>259</v>
      </c>
    </row>
    <row r="6" customFormat="false" ht="15" hidden="false" customHeight="false" outlineLevel="0" collapsed="false">
      <c r="A6" s="12" t="s">
        <v>148</v>
      </c>
      <c r="B6" s="21" t="n">
        <v>8</v>
      </c>
      <c r="C6" s="32" t="n">
        <f aca="false">Settings!$B$6</f>
        <v>60</v>
      </c>
      <c r="D6" s="33" t="n">
        <f aca="false">Settings!$B$7</f>
        <v>0.7</v>
      </c>
      <c r="E6" s="32" t="n">
        <f aca="false">ROUND(B6*C6*D6,0)</f>
        <v>336</v>
      </c>
      <c r="F6" s="34" t="n">
        <v>380000</v>
      </c>
      <c r="G6" s="35" t="n">
        <f aca="false">B6*C6*Settings!$B$5</f>
        <v>360000</v>
      </c>
      <c r="H6" s="36" t="str">
        <f aca="false">IF(G6&lt;=F6,"Yes","OVER by "&amp;TEXT(G6-F6,"$#,##0"))</f>
        <v>Yes</v>
      </c>
      <c r="J6" s="22" t="s">
        <v>260</v>
      </c>
    </row>
    <row r="7" customFormat="false" ht="15" hidden="false" customHeight="false" outlineLevel="0" collapsed="false">
      <c r="A7" s="12" t="s">
        <v>138</v>
      </c>
      <c r="B7" s="21" t="n">
        <v>8</v>
      </c>
      <c r="C7" s="32" t="n">
        <f aca="false">Settings!$B$6</f>
        <v>60</v>
      </c>
      <c r="D7" s="33" t="n">
        <f aca="false">Settings!$B$7</f>
        <v>0.7</v>
      </c>
      <c r="E7" s="32" t="n">
        <f aca="false">ROUND(B7*C7*D7,0)</f>
        <v>336</v>
      </c>
      <c r="F7" s="34" t="n">
        <v>380000</v>
      </c>
      <c r="G7" s="35" t="n">
        <f aca="false">B7*C7*Settings!$B$5</f>
        <v>360000</v>
      </c>
      <c r="H7" s="36" t="str">
        <f aca="false">IF(G7&lt;=F7,"Yes","OVER by "&amp;TEXT(G7-F7,"$#,##0"))</f>
        <v>Yes</v>
      </c>
    </row>
    <row r="8" customFormat="false" ht="15" hidden="false" customHeight="false" outlineLevel="0" collapsed="false">
      <c r="A8" s="12" t="s">
        <v>164</v>
      </c>
      <c r="B8" s="21" t="n">
        <v>9</v>
      </c>
      <c r="C8" s="32" t="n">
        <f aca="false">Settings!$B$6</f>
        <v>60</v>
      </c>
      <c r="D8" s="33" t="n">
        <f aca="false">Settings!$B$7</f>
        <v>0.7</v>
      </c>
      <c r="E8" s="32" t="n">
        <f aca="false">ROUND(B8*C8*D8,0)</f>
        <v>378</v>
      </c>
      <c r="F8" s="34" t="n">
        <v>420000</v>
      </c>
      <c r="G8" s="35" t="n">
        <f aca="false">B8*C8*Settings!$B$5</f>
        <v>405000</v>
      </c>
      <c r="H8" s="36" t="str">
        <f aca="false">IF(G8&lt;=F8,"Yes","OVER by "&amp;TEXT(G8-F8,"$#,##0"))</f>
        <v>Yes</v>
      </c>
    </row>
    <row r="9" customFormat="false" ht="15" hidden="false" customHeight="false" outlineLevel="0" collapsed="false">
      <c r="A9" s="12" t="s">
        <v>217</v>
      </c>
      <c r="B9" s="21" t="n">
        <v>9</v>
      </c>
      <c r="C9" s="32" t="n">
        <f aca="false">Settings!$B$6</f>
        <v>60</v>
      </c>
      <c r="D9" s="33" t="n">
        <f aca="false">Settings!$B$7</f>
        <v>0.7</v>
      </c>
      <c r="E9" s="32" t="n">
        <f aca="false">ROUND(B9*C9*D9,0)</f>
        <v>378</v>
      </c>
      <c r="F9" s="34" t="n">
        <v>420000</v>
      </c>
      <c r="G9" s="35" t="n">
        <f aca="false">B9*C9*Settings!$B$5</f>
        <v>405000</v>
      </c>
      <c r="H9" s="36" t="str">
        <f aca="false">IF(G9&lt;=F9,"Yes","OVER by "&amp;TEXT(G9-F9,"$#,##0"))</f>
        <v>Yes</v>
      </c>
    </row>
    <row r="10" customFormat="false" ht="15" hidden="false" customHeight="false" outlineLevel="0" collapsed="false">
      <c r="A10" s="12" t="s">
        <v>261</v>
      </c>
      <c r="B10" s="21" t="n">
        <v>9</v>
      </c>
      <c r="C10" s="32" t="n">
        <f aca="false">Settings!$B$6</f>
        <v>60</v>
      </c>
      <c r="D10" s="33" t="n">
        <f aca="false">Settings!$B$7</f>
        <v>0.7</v>
      </c>
      <c r="E10" s="32" t="n">
        <f aca="false">ROUND(B10*C10*D10,0)</f>
        <v>378</v>
      </c>
      <c r="F10" s="34" t="n">
        <v>420000</v>
      </c>
      <c r="G10" s="35" t="n">
        <f aca="false">B10*C10*Settings!$B$5</f>
        <v>405000</v>
      </c>
      <c r="H10" s="36" t="str">
        <f aca="false">IF(G10&lt;=F10,"Yes","OVER by "&amp;TEXT(G10-F10,"$#,##0"))</f>
        <v>Yes</v>
      </c>
    </row>
    <row r="13" customFormat="false" ht="15" hidden="false" customHeight="false" outlineLevel="0" collapsed="false">
      <c r="A13" s="5" t="s">
        <v>262</v>
      </c>
    </row>
    <row r="14" customFormat="false" ht="23.85" hidden="false" customHeight="false" outlineLevel="0" collapsed="false">
      <c r="A14" s="11" t="s">
        <v>251</v>
      </c>
      <c r="B14" s="11" t="s">
        <v>31</v>
      </c>
      <c r="C14" s="11" t="s">
        <v>29</v>
      </c>
      <c r="D14" s="11" t="s">
        <v>27</v>
      </c>
      <c r="E14" s="11" t="s">
        <v>33</v>
      </c>
      <c r="F14" s="11" t="s">
        <v>35</v>
      </c>
      <c r="G14" s="11" t="s">
        <v>52</v>
      </c>
      <c r="H14" s="11" t="s">
        <v>263</v>
      </c>
    </row>
    <row r="15" customFormat="false" ht="15" hidden="false" customHeight="false" outlineLevel="0" collapsed="false">
      <c r="A15" s="5" t="s">
        <v>148</v>
      </c>
      <c r="B15" s="19" t="n">
        <v>0.3</v>
      </c>
      <c r="C15" s="19" t="n">
        <v>0.2</v>
      </c>
      <c r="D15" s="19" t="n">
        <v>0.25</v>
      </c>
      <c r="E15" s="19" t="n">
        <v>0.2</v>
      </c>
      <c r="F15" s="19" t="n">
        <v>0.05</v>
      </c>
      <c r="G15" s="37" t="n">
        <f aca="false">SUM(B15:F15)</f>
        <v>1</v>
      </c>
      <c r="H15" s="38" t="str">
        <f aca="false">IF(ROUND(G15,4)=1,"OK","Must = 100%")</f>
        <v>OK</v>
      </c>
    </row>
    <row r="16" customFormat="false" ht="15" hidden="false" customHeight="false" outlineLevel="0" collapsed="false">
      <c r="A16" s="5" t="s">
        <v>138</v>
      </c>
      <c r="B16" s="19" t="n">
        <v>0.35</v>
      </c>
      <c r="C16" s="19" t="n">
        <v>0.15</v>
      </c>
      <c r="D16" s="19" t="n">
        <v>0.25</v>
      </c>
      <c r="E16" s="19" t="n">
        <v>0.2</v>
      </c>
      <c r="F16" s="19" t="n">
        <v>0.05</v>
      </c>
      <c r="G16" s="37" t="n">
        <f aca="false">SUM(B16:F16)</f>
        <v>1</v>
      </c>
      <c r="H16" s="38" t="str">
        <f aca="false">IF(ROUND(G16,4)=1,"OK","Must = 100%")</f>
        <v>OK</v>
      </c>
    </row>
    <row r="17" customFormat="false" ht="15" hidden="false" customHeight="false" outlineLevel="0" collapsed="false">
      <c r="A17" s="5" t="s">
        <v>164</v>
      </c>
      <c r="B17" s="19" t="n">
        <v>0.4</v>
      </c>
      <c r="C17" s="19" t="n">
        <v>0.15</v>
      </c>
      <c r="D17" s="19" t="n">
        <v>0.25</v>
      </c>
      <c r="E17" s="19" t="n">
        <v>0.15</v>
      </c>
      <c r="F17" s="19" t="n">
        <v>0.05</v>
      </c>
      <c r="G17" s="37" t="n">
        <f aca="false">SUM(B17:F17)</f>
        <v>1</v>
      </c>
      <c r="H17" s="38" t="str">
        <f aca="false">IF(ROUND(G17,4)=1,"OK","Must = 100%")</f>
        <v>OK</v>
      </c>
    </row>
    <row r="18" customFormat="false" ht="15" hidden="false" customHeight="false" outlineLevel="0" collapsed="false">
      <c r="A18" s="5" t="s">
        <v>217</v>
      </c>
      <c r="B18" s="19" t="n">
        <v>0.45</v>
      </c>
      <c r="C18" s="19" t="n">
        <v>0.15</v>
      </c>
      <c r="D18" s="19" t="n">
        <v>0.2</v>
      </c>
      <c r="E18" s="19" t="n">
        <v>0.15</v>
      </c>
      <c r="F18" s="19" t="n">
        <v>0.05</v>
      </c>
      <c r="G18" s="37" t="n">
        <f aca="false">SUM(B18:F18)</f>
        <v>1</v>
      </c>
      <c r="H18" s="38" t="str">
        <f aca="false">IF(ROUND(G18,4)=1,"OK","Must = 100%")</f>
        <v>OK</v>
      </c>
    </row>
    <row r="19" customFormat="false" ht="15" hidden="false" customHeight="false" outlineLevel="0" collapsed="false">
      <c r="A19" s="5" t="s">
        <v>261</v>
      </c>
      <c r="B19" s="19" t="n">
        <v>0.5</v>
      </c>
      <c r="C19" s="19" t="n">
        <v>0.15</v>
      </c>
      <c r="D19" s="19" t="n">
        <v>0.2</v>
      </c>
      <c r="E19" s="19" t="n">
        <v>0.1</v>
      </c>
      <c r="F19" s="19" t="n">
        <v>0.05</v>
      </c>
      <c r="G19" s="37" t="n">
        <f aca="false">SUM(B19:F19)</f>
        <v>1</v>
      </c>
      <c r="H19" s="38" t="str">
        <f aca="false">IF(ROUND(G19,4)=1,"OK","Must = 100%")</f>
        <v>OK</v>
      </c>
    </row>
    <row r="22" customFormat="false" ht="15" hidden="false" customHeight="false" outlineLevel="0" collapsed="false">
      <c r="A22" s="5" t="s">
        <v>264</v>
      </c>
    </row>
    <row r="23" customFormat="false" ht="42" hidden="false" customHeight="true" outlineLevel="0" collapsed="false">
      <c r="A23" s="11" t="s">
        <v>251</v>
      </c>
      <c r="B23" s="11" t="s">
        <v>265</v>
      </c>
      <c r="C23" s="11" t="s">
        <v>266</v>
      </c>
      <c r="D23" s="11" t="s">
        <v>267</v>
      </c>
      <c r="E23" s="11" t="s">
        <v>268</v>
      </c>
      <c r="F23" s="11" t="s">
        <v>269</v>
      </c>
      <c r="G23" s="11" t="s">
        <v>270</v>
      </c>
      <c r="H23" s="11" t="s">
        <v>271</v>
      </c>
      <c r="I23" s="11" t="s">
        <v>272</v>
      </c>
      <c r="J23" s="11" t="s">
        <v>273</v>
      </c>
      <c r="K23" s="11" t="s">
        <v>274</v>
      </c>
      <c r="L23" s="11" t="s">
        <v>275</v>
      </c>
      <c r="M23" s="11" t="s">
        <v>276</v>
      </c>
      <c r="N23" s="11" t="s">
        <v>277</v>
      </c>
    </row>
    <row r="24" customFormat="false" ht="15" hidden="false" customHeight="false" outlineLevel="0" collapsed="false">
      <c r="A24" s="12" t="s">
        <v>148</v>
      </c>
      <c r="B24" s="32" t="n">
        <f aca="false">ROUND($E6*B15,0)</f>
        <v>101</v>
      </c>
      <c r="C24" s="32" t="n">
        <f aca="false">SUMIFS('Tech Debt Register'!$R$5:$R$204,'Tech Debt Register'!$Y$5:$Y$204,$A24,'Tech Debt Register'!$C$5:$C$204,"Feature",'Tech Debt Register'!$X$5:$X$204,"&lt;&gt;Done",'Tech Debt Register'!$X$5:$X$204,"&lt;&gt;Rejected")</f>
        <v>15</v>
      </c>
      <c r="D24" s="32" t="n">
        <f aca="false">ROUND($E6*C15,0)</f>
        <v>67</v>
      </c>
      <c r="E24" s="32" t="n">
        <f aca="false">SUMIFS('Tech Debt Register'!$R$5:$R$204,'Tech Debt Register'!$Y$5:$Y$204,$A24,'Tech Debt Register'!$C$5:$C$204,"Defect",'Tech Debt Register'!$X$5:$X$204,"&lt;&gt;Done",'Tech Debt Register'!$X$5:$X$204,"&lt;&gt;Rejected")</f>
        <v>7</v>
      </c>
      <c r="F24" s="32" t="n">
        <f aca="false">ROUND($E6*D15,0)</f>
        <v>84</v>
      </c>
      <c r="G24" s="32" t="n">
        <f aca="false">SUMIFS('Tech Debt Register'!$R$5:$R$204,'Tech Debt Register'!$Y$5:$Y$204,$A24,'Tech Debt Register'!$C$5:$C$204,"Tech Debt",'Tech Debt Register'!$X$5:$X$204,"&lt;&gt;Done",'Tech Debt Register'!$X$5:$X$204,"&lt;&gt;Rejected")</f>
        <v>0</v>
      </c>
      <c r="H24" s="32" t="n">
        <f aca="false">ROUND($E6*E15,0)</f>
        <v>67</v>
      </c>
      <c r="I24" s="32" t="n">
        <f aca="false">SUMIFS('Tech Debt Register'!$R$5:$R$204,'Tech Debt Register'!$Y$5:$Y$204,$A24,'Tech Debt Register'!$C$5:$C$204,"Enabler",'Tech Debt Register'!$X$5:$X$204,"&lt;&gt;Done",'Tech Debt Register'!$X$5:$X$204,"&lt;&gt;Rejected")</f>
        <v>35</v>
      </c>
      <c r="J24" s="32" t="n">
        <f aca="false">ROUND($E6*F15,0)</f>
        <v>17</v>
      </c>
      <c r="K24" s="32" t="n">
        <f aca="false">SUMIFS('Tech Debt Register'!$R$5:$R$204,'Tech Debt Register'!$Y$5:$Y$204,$A24,'Tech Debt Register'!$C$5:$C$204,"Risk/Compliance",'Tech Debt Register'!$X$5:$X$204,"&lt;&gt;Done",'Tech Debt Register'!$X$5:$X$204,"&lt;&gt;Rejected")</f>
        <v>0</v>
      </c>
      <c r="L24" s="32" t="n">
        <f aca="false">SUM(B24,D24,F24,H24,J24)</f>
        <v>336</v>
      </c>
      <c r="M24" s="32" t="n">
        <f aca="false">SUM(C24,E24,G24,I24,K24)</f>
        <v>57</v>
      </c>
      <c r="N24" s="32" t="n">
        <f aca="false">L24-M24</f>
        <v>279</v>
      </c>
    </row>
    <row r="25" customFormat="false" ht="15" hidden="false" customHeight="false" outlineLevel="0" collapsed="false">
      <c r="A25" s="12" t="s">
        <v>138</v>
      </c>
      <c r="B25" s="32" t="n">
        <f aca="false">ROUND($E7*B16,0)</f>
        <v>118</v>
      </c>
      <c r="C25" s="32" t="n">
        <f aca="false">SUMIFS('Tech Debt Register'!$R$5:$R$204,'Tech Debt Register'!$Y$5:$Y$204,$A25,'Tech Debt Register'!$C$5:$C$204,"Feature",'Tech Debt Register'!$X$5:$X$204,"&lt;&gt;Done",'Tech Debt Register'!$X$5:$X$204,"&lt;&gt;Rejected")</f>
        <v>15</v>
      </c>
      <c r="D25" s="32" t="n">
        <f aca="false">ROUND($E7*C16,0)</f>
        <v>50</v>
      </c>
      <c r="E25" s="32" t="n">
        <f aca="false">SUMIFS('Tech Debt Register'!$R$5:$R$204,'Tech Debt Register'!$Y$5:$Y$204,$A25,'Tech Debt Register'!$C$5:$C$204,"Defect",'Tech Debt Register'!$X$5:$X$204,"&lt;&gt;Done",'Tech Debt Register'!$X$5:$X$204,"&lt;&gt;Rejected")</f>
        <v>0</v>
      </c>
      <c r="F25" s="32" t="n">
        <f aca="false">ROUND($E7*D16,0)</f>
        <v>84</v>
      </c>
      <c r="G25" s="32" t="n">
        <f aca="false">SUMIFS('Tech Debt Register'!$R$5:$R$204,'Tech Debt Register'!$Y$5:$Y$204,$A25,'Tech Debt Register'!$C$5:$C$204,"Tech Debt",'Tech Debt Register'!$X$5:$X$204,"&lt;&gt;Done",'Tech Debt Register'!$X$5:$X$204,"&lt;&gt;Rejected")</f>
        <v>68</v>
      </c>
      <c r="H25" s="32" t="n">
        <f aca="false">ROUND($E7*E16,0)</f>
        <v>67</v>
      </c>
      <c r="I25" s="32" t="n">
        <f aca="false">SUMIFS('Tech Debt Register'!$R$5:$R$204,'Tech Debt Register'!$Y$5:$Y$204,$A25,'Tech Debt Register'!$C$5:$C$204,"Enabler",'Tech Debt Register'!$X$5:$X$204,"&lt;&gt;Done",'Tech Debt Register'!$X$5:$X$204,"&lt;&gt;Rejected")</f>
        <v>0</v>
      </c>
      <c r="J25" s="32" t="n">
        <f aca="false">ROUND($E7*F16,0)</f>
        <v>17</v>
      </c>
      <c r="K25" s="32" t="n">
        <f aca="false">SUMIFS('Tech Debt Register'!$R$5:$R$204,'Tech Debt Register'!$Y$5:$Y$204,$A25,'Tech Debt Register'!$C$5:$C$204,"Risk/Compliance",'Tech Debt Register'!$X$5:$X$204,"&lt;&gt;Done",'Tech Debt Register'!$X$5:$X$204,"&lt;&gt;Rejected")</f>
        <v>10</v>
      </c>
      <c r="L25" s="32" t="n">
        <f aca="false">SUM(B25,D25,F25,H25,J25)</f>
        <v>336</v>
      </c>
      <c r="M25" s="32" t="n">
        <f aca="false">SUM(C25,E25,G25,I25,K25)</f>
        <v>93</v>
      </c>
      <c r="N25" s="32" t="n">
        <f aca="false">L25-M25</f>
        <v>243</v>
      </c>
    </row>
    <row r="26" customFormat="false" ht="15" hidden="false" customHeight="false" outlineLevel="0" collapsed="false">
      <c r="A26" s="12" t="s">
        <v>164</v>
      </c>
      <c r="B26" s="32" t="n">
        <f aca="false">ROUND($E8*B17,0)</f>
        <v>151</v>
      </c>
      <c r="C26" s="32" t="n">
        <f aca="false">SUMIFS('Tech Debt Register'!$R$5:$R$204,'Tech Debt Register'!$Y$5:$Y$204,$A26,'Tech Debt Register'!$C$5:$C$204,"Feature",'Tech Debt Register'!$X$5:$X$204,"&lt;&gt;Done",'Tech Debt Register'!$X$5:$X$204,"&lt;&gt;Rejected")</f>
        <v>15</v>
      </c>
      <c r="D26" s="32" t="n">
        <f aca="false">ROUND($E8*C17,0)</f>
        <v>57</v>
      </c>
      <c r="E26" s="32" t="n">
        <f aca="false">SUMIFS('Tech Debt Register'!$R$5:$R$204,'Tech Debt Register'!$Y$5:$Y$204,$A26,'Tech Debt Register'!$C$5:$C$204,"Defect",'Tech Debt Register'!$X$5:$X$204,"&lt;&gt;Done",'Tech Debt Register'!$X$5:$X$204,"&lt;&gt;Rejected")</f>
        <v>0</v>
      </c>
      <c r="F26" s="32" t="n">
        <f aca="false">ROUND($E8*D17,0)</f>
        <v>95</v>
      </c>
      <c r="G26" s="32" t="n">
        <f aca="false">SUMIFS('Tech Debt Register'!$R$5:$R$204,'Tech Debt Register'!$Y$5:$Y$204,$A26,'Tech Debt Register'!$C$5:$C$204,"Tech Debt",'Tech Debt Register'!$X$5:$X$204,"&lt;&gt;Done",'Tech Debt Register'!$X$5:$X$204,"&lt;&gt;Rejected")</f>
        <v>90</v>
      </c>
      <c r="H26" s="32" t="n">
        <f aca="false">ROUND($E8*E17,0)</f>
        <v>57</v>
      </c>
      <c r="I26" s="32" t="n">
        <f aca="false">SUMIFS('Tech Debt Register'!$R$5:$R$204,'Tech Debt Register'!$Y$5:$Y$204,$A26,'Tech Debt Register'!$C$5:$C$204,"Enabler",'Tech Debt Register'!$X$5:$X$204,"&lt;&gt;Done",'Tech Debt Register'!$X$5:$X$204,"&lt;&gt;Rejected")</f>
        <v>62</v>
      </c>
      <c r="J26" s="32" t="n">
        <f aca="false">ROUND($E8*F17,0)</f>
        <v>19</v>
      </c>
      <c r="K26" s="32" t="n">
        <f aca="false">SUMIFS('Tech Debt Register'!$R$5:$R$204,'Tech Debt Register'!$Y$5:$Y$204,$A26,'Tech Debt Register'!$C$5:$C$204,"Risk/Compliance",'Tech Debt Register'!$X$5:$X$204,"&lt;&gt;Done",'Tech Debt Register'!$X$5:$X$204,"&lt;&gt;Rejected")</f>
        <v>45</v>
      </c>
      <c r="L26" s="32" t="n">
        <f aca="false">SUM(B26,D26,F26,H26,J26)</f>
        <v>379</v>
      </c>
      <c r="M26" s="32" t="n">
        <f aca="false">SUM(C26,E26,G26,I26,K26)</f>
        <v>212</v>
      </c>
      <c r="N26" s="32" t="n">
        <f aca="false">L26-M26</f>
        <v>167</v>
      </c>
    </row>
    <row r="27" customFormat="false" ht="15" hidden="false" customHeight="false" outlineLevel="0" collapsed="false">
      <c r="A27" s="12" t="s">
        <v>217</v>
      </c>
      <c r="B27" s="32" t="n">
        <f aca="false">ROUND($E9*B18,0)</f>
        <v>170</v>
      </c>
      <c r="C27" s="32" t="n">
        <f aca="false">SUMIFS('Tech Debt Register'!$R$5:$R$204,'Tech Debt Register'!$Y$5:$Y$204,$A27,'Tech Debt Register'!$C$5:$C$204,"Feature",'Tech Debt Register'!$X$5:$X$204,"&lt;&gt;Done",'Tech Debt Register'!$X$5:$X$204,"&lt;&gt;Rejected")</f>
        <v>5</v>
      </c>
      <c r="D27" s="32" t="n">
        <f aca="false">ROUND($E9*C18,0)</f>
        <v>57</v>
      </c>
      <c r="E27" s="32" t="n">
        <f aca="false">SUMIFS('Tech Debt Register'!$R$5:$R$204,'Tech Debt Register'!$Y$5:$Y$204,$A27,'Tech Debt Register'!$C$5:$C$204,"Defect",'Tech Debt Register'!$X$5:$X$204,"&lt;&gt;Done",'Tech Debt Register'!$X$5:$X$204,"&lt;&gt;Rejected")</f>
        <v>0</v>
      </c>
      <c r="F27" s="32" t="n">
        <f aca="false">ROUND($E9*D18,0)</f>
        <v>76</v>
      </c>
      <c r="G27" s="32" t="n">
        <f aca="false">SUMIFS('Tech Debt Register'!$R$5:$R$204,'Tech Debt Register'!$Y$5:$Y$204,$A27,'Tech Debt Register'!$C$5:$C$204,"Tech Debt",'Tech Debt Register'!$X$5:$X$204,"&lt;&gt;Done",'Tech Debt Register'!$X$5:$X$204,"&lt;&gt;Rejected")</f>
        <v>30</v>
      </c>
      <c r="H27" s="32" t="n">
        <f aca="false">ROUND($E9*E18,0)</f>
        <v>57</v>
      </c>
      <c r="I27" s="32" t="n">
        <f aca="false">SUMIFS('Tech Debt Register'!$R$5:$R$204,'Tech Debt Register'!$Y$5:$Y$204,$A27,'Tech Debt Register'!$C$5:$C$204,"Enabler",'Tech Debt Register'!$X$5:$X$204,"&lt;&gt;Done",'Tech Debt Register'!$X$5:$X$204,"&lt;&gt;Rejected")</f>
        <v>0</v>
      </c>
      <c r="J27" s="32" t="n">
        <f aca="false">ROUND($E9*F18,0)</f>
        <v>19</v>
      </c>
      <c r="K27" s="32" t="n">
        <f aca="false">SUMIFS('Tech Debt Register'!$R$5:$R$204,'Tech Debt Register'!$Y$5:$Y$204,$A27,'Tech Debt Register'!$C$5:$C$204,"Risk/Compliance",'Tech Debt Register'!$X$5:$X$204,"&lt;&gt;Done",'Tech Debt Register'!$X$5:$X$204,"&lt;&gt;Rejected")</f>
        <v>0</v>
      </c>
      <c r="L27" s="32" t="n">
        <f aca="false">SUM(B27,D27,F27,H27,J27)</f>
        <v>379</v>
      </c>
      <c r="M27" s="32" t="n">
        <f aca="false">SUM(C27,E27,G27,I27,K27)</f>
        <v>35</v>
      </c>
      <c r="N27" s="32" t="n">
        <f aca="false">L27-M27</f>
        <v>344</v>
      </c>
    </row>
    <row r="28" customFormat="false" ht="15" hidden="false" customHeight="false" outlineLevel="0" collapsed="false">
      <c r="A28" s="12" t="s">
        <v>261</v>
      </c>
      <c r="B28" s="32" t="n">
        <f aca="false">ROUND($E10*B19,0)</f>
        <v>189</v>
      </c>
      <c r="C28" s="32" t="n">
        <f aca="false">SUMIFS('Tech Debt Register'!$R$5:$R$204,'Tech Debt Register'!$Y$5:$Y$204,$A28,'Tech Debt Register'!$C$5:$C$204,"Feature",'Tech Debt Register'!$X$5:$X$204,"&lt;&gt;Done",'Tech Debt Register'!$X$5:$X$204,"&lt;&gt;Rejected")</f>
        <v>0</v>
      </c>
      <c r="D28" s="32" t="n">
        <f aca="false">ROUND($E10*C19,0)</f>
        <v>57</v>
      </c>
      <c r="E28" s="32" t="n">
        <f aca="false">SUMIFS('Tech Debt Register'!$R$5:$R$204,'Tech Debt Register'!$Y$5:$Y$204,$A28,'Tech Debt Register'!$C$5:$C$204,"Defect",'Tech Debt Register'!$X$5:$X$204,"&lt;&gt;Done",'Tech Debt Register'!$X$5:$X$204,"&lt;&gt;Rejected")</f>
        <v>0</v>
      </c>
      <c r="F28" s="32" t="n">
        <f aca="false">ROUND($E10*D19,0)</f>
        <v>76</v>
      </c>
      <c r="G28" s="32" t="n">
        <f aca="false">SUMIFS('Tech Debt Register'!$R$5:$R$204,'Tech Debt Register'!$Y$5:$Y$204,$A28,'Tech Debt Register'!$C$5:$C$204,"Tech Debt",'Tech Debt Register'!$X$5:$X$204,"&lt;&gt;Done",'Tech Debt Register'!$X$5:$X$204,"&lt;&gt;Rejected")</f>
        <v>0</v>
      </c>
      <c r="H28" s="32" t="n">
        <f aca="false">ROUND($E10*E19,0)</f>
        <v>38</v>
      </c>
      <c r="I28" s="32" t="n">
        <f aca="false">SUMIFS('Tech Debt Register'!$R$5:$R$204,'Tech Debt Register'!$Y$5:$Y$204,$A28,'Tech Debt Register'!$C$5:$C$204,"Enabler",'Tech Debt Register'!$X$5:$X$204,"&lt;&gt;Done",'Tech Debt Register'!$X$5:$X$204,"&lt;&gt;Rejected")</f>
        <v>0</v>
      </c>
      <c r="J28" s="32" t="n">
        <f aca="false">ROUND($E10*F19,0)</f>
        <v>19</v>
      </c>
      <c r="K28" s="32" t="n">
        <f aca="false">SUMIFS('Tech Debt Register'!$R$5:$R$204,'Tech Debt Register'!$Y$5:$Y$204,$A28,'Tech Debt Register'!$C$5:$C$204,"Risk/Compliance",'Tech Debt Register'!$X$5:$X$204,"&lt;&gt;Done",'Tech Debt Register'!$X$5:$X$204,"&lt;&gt;Rejected")</f>
        <v>0</v>
      </c>
      <c r="L28" s="32" t="n">
        <f aca="false">SUM(B28,D28,F28,H28,J28)</f>
        <v>379</v>
      </c>
      <c r="M28" s="32" t="n">
        <f aca="false">SUM(C28,E28,G28,I28,K28)</f>
        <v>0</v>
      </c>
      <c r="N28" s="32" t="n">
        <f aca="false">L28-M28</f>
        <v>379</v>
      </c>
    </row>
    <row r="30" customFormat="false" ht="15" hidden="false" customHeight="false" outlineLevel="0" collapsed="false">
      <c r="A30" s="22" t="s">
        <v>278</v>
      </c>
    </row>
    <row r="31" customFormat="false" ht="15" hidden="false" customHeight="false" outlineLevel="0" collapsed="false">
      <c r="A31" s="22" t="s">
        <v>279</v>
      </c>
    </row>
  </sheetData>
  <conditionalFormatting sqref="H15:H19">
    <cfRule type="cellIs" priority="2" operator="notEqual" aboveAverage="0" equalAverage="0" bottom="0" percent="0" rank="0" text="" dxfId="2">
      <formula>"OK"</formula>
    </cfRule>
  </conditionalFormatting>
  <conditionalFormatting sqref="H6:H10">
    <cfRule type="cellIs" priority="3" operator="notEqual" aboveAverage="0" equalAverage="0" bottom="0" percent="0" rank="0" text="" dxfId="2">
      <formula>"Yes"</formula>
    </cfRule>
  </conditionalFormatting>
  <conditionalFormatting sqref="N24:N28">
    <cfRule type="cellIs" priority="4" operator="lessThan" aboveAverage="0" equalAverage="0" bottom="0" percent="0" rank="0" text="" dxfId="2">
      <formula>0</formula>
    </cfRule>
  </conditionalFormatting>
  <conditionalFormatting sqref="C24:C28">
    <cfRule type="expression" priority="5" aboveAverage="0" equalAverage="0" bottom="0" percent="0" rank="0" text="" dxfId="1">
      <formula>C24&gt;B24</formula>
    </cfRule>
  </conditionalFormatting>
  <conditionalFormatting sqref="E24:E28">
    <cfRule type="expression" priority="6" aboveAverage="0" equalAverage="0" bottom="0" percent="0" rank="0" text="" dxfId="1">
      <formula>E24&gt;D24</formula>
    </cfRule>
  </conditionalFormatting>
  <conditionalFormatting sqref="G24:G28">
    <cfRule type="expression" priority="7" aboveAverage="0" equalAverage="0" bottom="0" percent="0" rank="0" text="" dxfId="1">
      <formula>G24&gt;F24</formula>
    </cfRule>
  </conditionalFormatting>
  <conditionalFormatting sqref="I24:I28">
    <cfRule type="expression" priority="8" aboveAverage="0" equalAverage="0" bottom="0" percent="0" rank="0" text="" dxfId="1">
      <formula>I24&gt;H24</formula>
    </cfRule>
  </conditionalFormatting>
  <conditionalFormatting sqref="K24:K28">
    <cfRule type="expression" priority="9" aboveAverage="0" equalAverage="0" bottom="0" percent="0" rank="0" text="" dxfId="1">
      <formula>K24&gt;J24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20" min="6" style="0" width="6.51"/>
  </cols>
  <sheetData>
    <row r="1" customFormat="false" ht="19.7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23.85" hidden="false" customHeight="false" outlineLevel="0" collapsed="false">
      <c r="A4" s="11" t="s">
        <v>282</v>
      </c>
      <c r="B4" s="11" t="s">
        <v>283</v>
      </c>
      <c r="C4" s="11" t="s">
        <v>284</v>
      </c>
      <c r="D4" s="11" t="s">
        <v>285</v>
      </c>
      <c r="E4" s="11" t="s">
        <v>286</v>
      </c>
      <c r="F4" s="11" t="s">
        <v>287</v>
      </c>
      <c r="G4" s="11" t="s">
        <v>288</v>
      </c>
      <c r="H4" s="11" t="s">
        <v>289</v>
      </c>
      <c r="I4" s="11" t="s">
        <v>290</v>
      </c>
      <c r="J4" s="11" t="s">
        <v>291</v>
      </c>
      <c r="K4" s="11" t="s">
        <v>292</v>
      </c>
      <c r="L4" s="11" t="s">
        <v>293</v>
      </c>
      <c r="M4" s="11" t="s">
        <v>294</v>
      </c>
      <c r="N4" s="11" t="s">
        <v>295</v>
      </c>
      <c r="O4" s="11" t="s">
        <v>296</v>
      </c>
      <c r="P4" s="11" t="s">
        <v>297</v>
      </c>
      <c r="Q4" s="11" t="s">
        <v>298</v>
      </c>
      <c r="R4" s="11" t="s">
        <v>299</v>
      </c>
      <c r="S4" s="11" t="s">
        <v>300</v>
      </c>
      <c r="T4" s="11" t="s">
        <v>301</v>
      </c>
    </row>
    <row r="5" customFormat="false" ht="30" hidden="false" customHeight="true" outlineLevel="0" collapsed="false">
      <c r="A5" s="39" t="s">
        <v>302</v>
      </c>
      <c r="B5" s="39" t="s">
        <v>303</v>
      </c>
      <c r="C5" s="39" t="s">
        <v>304</v>
      </c>
      <c r="D5" s="40" t="n">
        <v>46300</v>
      </c>
      <c r="E5" s="40" t="n">
        <v>46339</v>
      </c>
      <c r="F5" s="41" t="n">
        <f aca="false">IF(AND($D5&lt;=EOMONTH(DATE(2026,10,1),0),$E5&gt;=DATE(2026,10,1)),1,"")</f>
        <v>1</v>
      </c>
      <c r="G5" s="41" t="n">
        <f aca="false">IF(AND($D5&lt;=EOMONTH(DATE(2026,11,1),0),$E5&gt;=DATE(2026,11,1)),1,"")</f>
        <v>1</v>
      </c>
      <c r="H5" s="41" t="str">
        <f aca="false">IF(AND($D5&lt;=EOMONTH(DATE(2026,12,1),0),$E5&gt;=DATE(2026,12,1)),1,"")</f>
        <v/>
      </c>
      <c r="I5" s="41" t="str">
        <f aca="false">IF(AND($D5&lt;=EOMONTH(DATE(2027,1,1),0),$E5&gt;=DATE(2027,1,1)),1,"")</f>
        <v/>
      </c>
      <c r="J5" s="41" t="str">
        <f aca="false">IF(AND($D5&lt;=EOMONTH(DATE(2027,2,1),0),$E5&gt;=DATE(2027,2,1)),1,"")</f>
        <v/>
      </c>
      <c r="K5" s="41" t="str">
        <f aca="false">IF(AND($D5&lt;=EOMONTH(DATE(2027,3,1),0),$E5&gt;=DATE(2027,3,1)),1,"")</f>
        <v/>
      </c>
      <c r="L5" s="41" t="str">
        <f aca="false">IF(AND($D5&lt;=EOMONTH(DATE(2027,4,1),0),$E5&gt;=DATE(2027,4,1)),1,"")</f>
        <v/>
      </c>
      <c r="M5" s="41" t="str">
        <f aca="false">IF(AND($D5&lt;=EOMONTH(DATE(2027,5,1),0),$E5&gt;=DATE(2027,5,1)),1,"")</f>
        <v/>
      </c>
      <c r="N5" s="41" t="str">
        <f aca="false">IF(AND($D5&lt;=EOMONTH(DATE(2027,6,1),0),$E5&gt;=DATE(2027,6,1)),1,"")</f>
        <v/>
      </c>
      <c r="O5" s="41" t="str">
        <f aca="false">IF(AND($D5&lt;=EOMONTH(DATE(2027,7,1),0),$E5&gt;=DATE(2027,7,1)),1,"")</f>
        <v/>
      </c>
      <c r="P5" s="41" t="str">
        <f aca="false">IF(AND($D5&lt;=EOMONTH(DATE(2027,8,1),0),$E5&gt;=DATE(2027,8,1)),1,"")</f>
        <v/>
      </c>
      <c r="Q5" s="41" t="str">
        <f aca="false">IF(AND($D5&lt;=EOMONTH(DATE(2027,9,1),0),$E5&gt;=DATE(2027,9,1)),1,"")</f>
        <v/>
      </c>
      <c r="R5" s="41" t="str">
        <f aca="false">IF(AND($D5&lt;=EOMONTH(DATE(2027,10,1),0),$E5&gt;=DATE(2027,10,1)),1,"")</f>
        <v/>
      </c>
      <c r="S5" s="41" t="str">
        <f aca="false">IF(AND($D5&lt;=EOMONTH(DATE(2027,11,1),0),$E5&gt;=DATE(2027,11,1)),1,"")</f>
        <v/>
      </c>
      <c r="T5" s="41" t="str">
        <f aca="false">IF(AND($D5&lt;=EOMONTH(DATE(2027,12,1),0),$E5&gt;=DATE(2027,12,1)),1,"")</f>
        <v/>
      </c>
    </row>
    <row r="6" customFormat="false" ht="30" hidden="false" customHeight="true" outlineLevel="0" collapsed="false">
      <c r="A6" s="39" t="s">
        <v>302</v>
      </c>
      <c r="B6" s="39" t="s">
        <v>305</v>
      </c>
      <c r="C6" s="39" t="s">
        <v>306</v>
      </c>
      <c r="D6" s="40" t="n">
        <v>46300</v>
      </c>
      <c r="E6" s="40" t="n">
        <v>46374</v>
      </c>
      <c r="F6" s="41" t="n">
        <f aca="false">IF(AND($D6&lt;=EOMONTH(DATE(2026,10,1),0),$E6&gt;=DATE(2026,10,1)),1,"")</f>
        <v>1</v>
      </c>
      <c r="G6" s="41" t="n">
        <f aca="false">IF(AND($D6&lt;=EOMONTH(DATE(2026,11,1),0),$E6&gt;=DATE(2026,11,1)),1,"")</f>
        <v>1</v>
      </c>
      <c r="H6" s="41" t="n">
        <f aca="false">IF(AND($D6&lt;=EOMONTH(DATE(2026,12,1),0),$E6&gt;=DATE(2026,12,1)),1,"")</f>
        <v>1</v>
      </c>
      <c r="I6" s="41" t="str">
        <f aca="false">IF(AND($D6&lt;=EOMONTH(DATE(2027,1,1),0),$E6&gt;=DATE(2027,1,1)),1,"")</f>
        <v/>
      </c>
      <c r="J6" s="41" t="str">
        <f aca="false">IF(AND($D6&lt;=EOMONTH(DATE(2027,2,1),0),$E6&gt;=DATE(2027,2,1)),1,"")</f>
        <v/>
      </c>
      <c r="K6" s="41" t="str">
        <f aca="false">IF(AND($D6&lt;=EOMONTH(DATE(2027,3,1),0),$E6&gt;=DATE(2027,3,1)),1,"")</f>
        <v/>
      </c>
      <c r="L6" s="41" t="str">
        <f aca="false">IF(AND($D6&lt;=EOMONTH(DATE(2027,4,1),0),$E6&gt;=DATE(2027,4,1)),1,"")</f>
        <v/>
      </c>
      <c r="M6" s="41" t="str">
        <f aca="false">IF(AND($D6&lt;=EOMONTH(DATE(2027,5,1),0),$E6&gt;=DATE(2027,5,1)),1,"")</f>
        <v/>
      </c>
      <c r="N6" s="41" t="str">
        <f aca="false">IF(AND($D6&lt;=EOMONTH(DATE(2027,6,1),0),$E6&gt;=DATE(2027,6,1)),1,"")</f>
        <v/>
      </c>
      <c r="O6" s="41" t="str">
        <f aca="false">IF(AND($D6&lt;=EOMONTH(DATE(2027,7,1),0),$E6&gt;=DATE(2027,7,1)),1,"")</f>
        <v/>
      </c>
      <c r="P6" s="41" t="str">
        <f aca="false">IF(AND($D6&lt;=EOMONTH(DATE(2027,8,1),0),$E6&gt;=DATE(2027,8,1)),1,"")</f>
        <v/>
      </c>
      <c r="Q6" s="41" t="str">
        <f aca="false">IF(AND($D6&lt;=EOMONTH(DATE(2027,9,1),0),$E6&gt;=DATE(2027,9,1)),1,"")</f>
        <v/>
      </c>
      <c r="R6" s="41" t="str">
        <f aca="false">IF(AND($D6&lt;=EOMONTH(DATE(2027,10,1),0),$E6&gt;=DATE(2027,10,1)),1,"")</f>
        <v/>
      </c>
      <c r="S6" s="41" t="str">
        <f aca="false">IF(AND($D6&lt;=EOMONTH(DATE(2027,11,1),0),$E6&gt;=DATE(2027,11,1)),1,"")</f>
        <v/>
      </c>
      <c r="T6" s="41" t="str">
        <f aca="false">IF(AND($D6&lt;=EOMONTH(DATE(2027,12,1),0),$E6&gt;=DATE(2027,12,1)),1,"")</f>
        <v/>
      </c>
    </row>
    <row r="7" customFormat="false" ht="30" hidden="false" customHeight="true" outlineLevel="0" collapsed="false">
      <c r="A7" s="39" t="s">
        <v>302</v>
      </c>
      <c r="B7" s="39" t="s">
        <v>307</v>
      </c>
      <c r="C7" s="39" t="s">
        <v>154</v>
      </c>
      <c r="D7" s="40" t="n">
        <v>46327</v>
      </c>
      <c r="E7" s="40" t="n">
        <v>46752</v>
      </c>
      <c r="F7" s="41" t="str">
        <f aca="false">IF(AND($D7&lt;=EOMONTH(DATE(2026,10,1),0),$E7&gt;=DATE(2026,10,1)),1,"")</f>
        <v/>
      </c>
      <c r="G7" s="41" t="n">
        <f aca="false">IF(AND($D7&lt;=EOMONTH(DATE(2026,11,1),0),$E7&gt;=DATE(2026,11,1)),1,"")</f>
        <v>1</v>
      </c>
      <c r="H7" s="41" t="n">
        <f aca="false">IF(AND($D7&lt;=EOMONTH(DATE(2026,12,1),0),$E7&gt;=DATE(2026,12,1)),1,"")</f>
        <v>1</v>
      </c>
      <c r="I7" s="41" t="n">
        <f aca="false">IF(AND($D7&lt;=EOMONTH(DATE(2027,1,1),0),$E7&gt;=DATE(2027,1,1)),1,"")</f>
        <v>1</v>
      </c>
      <c r="J7" s="41" t="n">
        <f aca="false">IF(AND($D7&lt;=EOMONTH(DATE(2027,2,1),0),$E7&gt;=DATE(2027,2,1)),1,"")</f>
        <v>1</v>
      </c>
      <c r="K7" s="41" t="n">
        <f aca="false">IF(AND($D7&lt;=EOMONTH(DATE(2027,3,1),0),$E7&gt;=DATE(2027,3,1)),1,"")</f>
        <v>1</v>
      </c>
      <c r="L7" s="41" t="n">
        <f aca="false">IF(AND($D7&lt;=EOMONTH(DATE(2027,4,1),0),$E7&gt;=DATE(2027,4,1)),1,"")</f>
        <v>1</v>
      </c>
      <c r="M7" s="41" t="n">
        <f aca="false">IF(AND($D7&lt;=EOMONTH(DATE(2027,5,1),0),$E7&gt;=DATE(2027,5,1)),1,"")</f>
        <v>1</v>
      </c>
      <c r="N7" s="41" t="n">
        <f aca="false">IF(AND($D7&lt;=EOMONTH(DATE(2027,6,1),0),$E7&gt;=DATE(2027,6,1)),1,"")</f>
        <v>1</v>
      </c>
      <c r="O7" s="41" t="n">
        <f aca="false">IF(AND($D7&lt;=EOMONTH(DATE(2027,7,1),0),$E7&gt;=DATE(2027,7,1)),1,"")</f>
        <v>1</v>
      </c>
      <c r="P7" s="41" t="n">
        <f aca="false">IF(AND($D7&lt;=EOMONTH(DATE(2027,8,1),0),$E7&gt;=DATE(2027,8,1)),1,"")</f>
        <v>1</v>
      </c>
      <c r="Q7" s="41" t="n">
        <f aca="false">IF(AND($D7&lt;=EOMONTH(DATE(2027,9,1),0),$E7&gt;=DATE(2027,9,1)),1,"")</f>
        <v>1</v>
      </c>
      <c r="R7" s="41" t="n">
        <f aca="false">IF(AND($D7&lt;=EOMONTH(DATE(2027,10,1),0),$E7&gt;=DATE(2027,10,1)),1,"")</f>
        <v>1</v>
      </c>
      <c r="S7" s="41" t="n">
        <f aca="false">IF(AND($D7&lt;=EOMONTH(DATE(2027,11,1),0),$E7&gt;=DATE(2027,11,1)),1,"")</f>
        <v>1</v>
      </c>
      <c r="T7" s="41" t="n">
        <f aca="false">IF(AND($D7&lt;=EOMONTH(DATE(2027,12,1),0),$E7&gt;=DATE(2027,12,1)),1,"")</f>
        <v>1</v>
      </c>
    </row>
    <row r="8" customFormat="false" ht="30" hidden="false" customHeight="true" outlineLevel="0" collapsed="false">
      <c r="A8" s="39" t="s">
        <v>308</v>
      </c>
      <c r="B8" s="39" t="s">
        <v>309</v>
      </c>
      <c r="C8" s="39" t="s">
        <v>310</v>
      </c>
      <c r="D8" s="40" t="n">
        <v>46314</v>
      </c>
      <c r="E8" s="40" t="n">
        <v>46416</v>
      </c>
      <c r="F8" s="41" t="n">
        <f aca="false">IF(AND($D8&lt;=EOMONTH(DATE(2026,10,1),0),$E8&gt;=DATE(2026,10,1)),1,"")</f>
        <v>1</v>
      </c>
      <c r="G8" s="41" t="n">
        <f aca="false">IF(AND($D8&lt;=EOMONTH(DATE(2026,11,1),0),$E8&gt;=DATE(2026,11,1)),1,"")</f>
        <v>1</v>
      </c>
      <c r="H8" s="41" t="n">
        <f aca="false">IF(AND($D8&lt;=EOMONTH(DATE(2026,12,1),0),$E8&gt;=DATE(2026,12,1)),1,"")</f>
        <v>1</v>
      </c>
      <c r="I8" s="41" t="n">
        <f aca="false">IF(AND($D8&lt;=EOMONTH(DATE(2027,1,1),0),$E8&gt;=DATE(2027,1,1)),1,"")</f>
        <v>1</v>
      </c>
      <c r="J8" s="41" t="str">
        <f aca="false">IF(AND($D8&lt;=EOMONTH(DATE(2027,2,1),0),$E8&gt;=DATE(2027,2,1)),1,"")</f>
        <v/>
      </c>
      <c r="K8" s="41" t="str">
        <f aca="false">IF(AND($D8&lt;=EOMONTH(DATE(2027,3,1),0),$E8&gt;=DATE(2027,3,1)),1,"")</f>
        <v/>
      </c>
      <c r="L8" s="41" t="str">
        <f aca="false">IF(AND($D8&lt;=EOMONTH(DATE(2027,4,1),0),$E8&gt;=DATE(2027,4,1)),1,"")</f>
        <v/>
      </c>
      <c r="M8" s="41" t="str">
        <f aca="false">IF(AND($D8&lt;=EOMONTH(DATE(2027,5,1),0),$E8&gt;=DATE(2027,5,1)),1,"")</f>
        <v/>
      </c>
      <c r="N8" s="41" t="str">
        <f aca="false">IF(AND($D8&lt;=EOMONTH(DATE(2027,6,1),0),$E8&gt;=DATE(2027,6,1)),1,"")</f>
        <v/>
      </c>
      <c r="O8" s="41" t="str">
        <f aca="false">IF(AND($D8&lt;=EOMONTH(DATE(2027,7,1),0),$E8&gt;=DATE(2027,7,1)),1,"")</f>
        <v/>
      </c>
      <c r="P8" s="41" t="str">
        <f aca="false">IF(AND($D8&lt;=EOMONTH(DATE(2027,8,1),0),$E8&gt;=DATE(2027,8,1)),1,"")</f>
        <v/>
      </c>
      <c r="Q8" s="41" t="str">
        <f aca="false">IF(AND($D8&lt;=EOMONTH(DATE(2027,9,1),0),$E8&gt;=DATE(2027,9,1)),1,"")</f>
        <v/>
      </c>
      <c r="R8" s="41" t="str">
        <f aca="false">IF(AND($D8&lt;=EOMONTH(DATE(2027,10,1),0),$E8&gt;=DATE(2027,10,1)),1,"")</f>
        <v/>
      </c>
      <c r="S8" s="41" t="str">
        <f aca="false">IF(AND($D8&lt;=EOMONTH(DATE(2027,11,1),0),$E8&gt;=DATE(2027,11,1)),1,"")</f>
        <v/>
      </c>
      <c r="T8" s="41" t="str">
        <f aca="false">IF(AND($D8&lt;=EOMONTH(DATE(2027,12,1),0),$E8&gt;=DATE(2027,12,1)),1,"")</f>
        <v/>
      </c>
    </row>
    <row r="9" customFormat="false" ht="30" hidden="false" customHeight="true" outlineLevel="0" collapsed="false">
      <c r="A9" s="39" t="s">
        <v>308</v>
      </c>
      <c r="B9" s="39" t="s">
        <v>311</v>
      </c>
      <c r="C9" s="39" t="s">
        <v>312</v>
      </c>
      <c r="D9" s="40" t="n">
        <v>46357</v>
      </c>
      <c r="E9" s="40" t="n">
        <v>46477</v>
      </c>
      <c r="F9" s="41" t="str">
        <f aca="false">IF(AND($D9&lt;=EOMONTH(DATE(2026,10,1),0),$E9&gt;=DATE(2026,10,1)),1,"")</f>
        <v/>
      </c>
      <c r="G9" s="41" t="str">
        <f aca="false">IF(AND($D9&lt;=EOMONTH(DATE(2026,11,1),0),$E9&gt;=DATE(2026,11,1)),1,"")</f>
        <v/>
      </c>
      <c r="H9" s="41" t="n">
        <f aca="false">IF(AND($D9&lt;=EOMONTH(DATE(2026,12,1),0),$E9&gt;=DATE(2026,12,1)),1,"")</f>
        <v>1</v>
      </c>
      <c r="I9" s="41" t="n">
        <f aca="false">IF(AND($D9&lt;=EOMONTH(DATE(2027,1,1),0),$E9&gt;=DATE(2027,1,1)),1,"")</f>
        <v>1</v>
      </c>
      <c r="J9" s="41" t="n">
        <f aca="false">IF(AND($D9&lt;=EOMONTH(DATE(2027,2,1),0),$E9&gt;=DATE(2027,2,1)),1,"")</f>
        <v>1</v>
      </c>
      <c r="K9" s="41" t="n">
        <f aca="false">IF(AND($D9&lt;=EOMONTH(DATE(2027,3,1),0),$E9&gt;=DATE(2027,3,1)),1,"")</f>
        <v>1</v>
      </c>
      <c r="L9" s="41" t="str">
        <f aca="false">IF(AND($D9&lt;=EOMONTH(DATE(2027,4,1),0),$E9&gt;=DATE(2027,4,1)),1,"")</f>
        <v/>
      </c>
      <c r="M9" s="41" t="str">
        <f aca="false">IF(AND($D9&lt;=EOMONTH(DATE(2027,5,1),0),$E9&gt;=DATE(2027,5,1)),1,"")</f>
        <v/>
      </c>
      <c r="N9" s="41" t="str">
        <f aca="false">IF(AND($D9&lt;=EOMONTH(DATE(2027,6,1),0),$E9&gt;=DATE(2027,6,1)),1,"")</f>
        <v/>
      </c>
      <c r="O9" s="41" t="str">
        <f aca="false">IF(AND($D9&lt;=EOMONTH(DATE(2027,7,1),0),$E9&gt;=DATE(2027,7,1)),1,"")</f>
        <v/>
      </c>
      <c r="P9" s="41" t="str">
        <f aca="false">IF(AND($D9&lt;=EOMONTH(DATE(2027,8,1),0),$E9&gt;=DATE(2027,8,1)),1,"")</f>
        <v/>
      </c>
      <c r="Q9" s="41" t="str">
        <f aca="false">IF(AND($D9&lt;=EOMONTH(DATE(2027,9,1),0),$E9&gt;=DATE(2027,9,1)),1,"")</f>
        <v/>
      </c>
      <c r="R9" s="41" t="str">
        <f aca="false">IF(AND($D9&lt;=EOMONTH(DATE(2027,10,1),0),$E9&gt;=DATE(2027,10,1)),1,"")</f>
        <v/>
      </c>
      <c r="S9" s="41" t="str">
        <f aca="false">IF(AND($D9&lt;=EOMONTH(DATE(2027,11,1),0),$E9&gt;=DATE(2027,11,1)),1,"")</f>
        <v/>
      </c>
      <c r="T9" s="41" t="str">
        <f aca="false">IF(AND($D9&lt;=EOMONTH(DATE(2027,12,1),0),$E9&gt;=DATE(2027,12,1)),1,"")</f>
        <v/>
      </c>
    </row>
    <row r="10" customFormat="false" ht="30" hidden="false" customHeight="true" outlineLevel="0" collapsed="false">
      <c r="A10" s="39" t="s">
        <v>308</v>
      </c>
      <c r="B10" s="39" t="s">
        <v>313</v>
      </c>
      <c r="C10" s="39" t="s">
        <v>314</v>
      </c>
      <c r="D10" s="40" t="n">
        <v>46447</v>
      </c>
      <c r="E10" s="40" t="n">
        <v>46598</v>
      </c>
      <c r="F10" s="41" t="str">
        <f aca="false">IF(AND($D10&lt;=EOMONTH(DATE(2026,10,1),0),$E10&gt;=DATE(2026,10,1)),1,"")</f>
        <v/>
      </c>
      <c r="G10" s="41" t="str">
        <f aca="false">IF(AND($D10&lt;=EOMONTH(DATE(2026,11,1),0),$E10&gt;=DATE(2026,11,1)),1,"")</f>
        <v/>
      </c>
      <c r="H10" s="41" t="str">
        <f aca="false">IF(AND($D10&lt;=EOMONTH(DATE(2026,12,1),0),$E10&gt;=DATE(2026,12,1)),1,"")</f>
        <v/>
      </c>
      <c r="I10" s="41" t="str">
        <f aca="false">IF(AND($D10&lt;=EOMONTH(DATE(2027,1,1),0),$E10&gt;=DATE(2027,1,1)),1,"")</f>
        <v/>
      </c>
      <c r="J10" s="41" t="str">
        <f aca="false">IF(AND($D10&lt;=EOMONTH(DATE(2027,2,1),0),$E10&gt;=DATE(2027,2,1)),1,"")</f>
        <v/>
      </c>
      <c r="K10" s="41" t="n">
        <f aca="false">IF(AND($D10&lt;=EOMONTH(DATE(2027,3,1),0),$E10&gt;=DATE(2027,3,1)),1,"")</f>
        <v>1</v>
      </c>
      <c r="L10" s="41" t="n">
        <f aca="false">IF(AND($D10&lt;=EOMONTH(DATE(2027,4,1),0),$E10&gt;=DATE(2027,4,1)),1,"")</f>
        <v>1</v>
      </c>
      <c r="M10" s="41" t="n">
        <f aca="false">IF(AND($D10&lt;=EOMONTH(DATE(2027,5,1),0),$E10&gt;=DATE(2027,5,1)),1,"")</f>
        <v>1</v>
      </c>
      <c r="N10" s="41" t="n">
        <f aca="false">IF(AND($D10&lt;=EOMONTH(DATE(2027,6,1),0),$E10&gt;=DATE(2027,6,1)),1,"")</f>
        <v>1</v>
      </c>
      <c r="O10" s="41" t="n">
        <f aca="false">IF(AND($D10&lt;=EOMONTH(DATE(2027,7,1),0),$E10&gt;=DATE(2027,7,1)),1,"")</f>
        <v>1</v>
      </c>
      <c r="P10" s="41" t="str">
        <f aca="false">IF(AND($D10&lt;=EOMONTH(DATE(2027,8,1),0),$E10&gt;=DATE(2027,8,1)),1,"")</f>
        <v/>
      </c>
      <c r="Q10" s="41" t="str">
        <f aca="false">IF(AND($D10&lt;=EOMONTH(DATE(2027,9,1),0),$E10&gt;=DATE(2027,9,1)),1,"")</f>
        <v/>
      </c>
      <c r="R10" s="41" t="str">
        <f aca="false">IF(AND($D10&lt;=EOMONTH(DATE(2027,10,1),0),$E10&gt;=DATE(2027,10,1)),1,"")</f>
        <v/>
      </c>
      <c r="S10" s="41" t="str">
        <f aca="false">IF(AND($D10&lt;=EOMONTH(DATE(2027,11,1),0),$E10&gt;=DATE(2027,11,1)),1,"")</f>
        <v/>
      </c>
      <c r="T10" s="41" t="str">
        <f aca="false">IF(AND($D10&lt;=EOMONTH(DATE(2027,12,1),0),$E10&gt;=DATE(2027,12,1)),1,"")</f>
        <v/>
      </c>
    </row>
    <row r="11" customFormat="false" ht="30" hidden="false" customHeight="true" outlineLevel="0" collapsed="false">
      <c r="A11" s="39" t="s">
        <v>308</v>
      </c>
      <c r="B11" s="39" t="s">
        <v>315</v>
      </c>
      <c r="C11" s="39" t="s">
        <v>316</v>
      </c>
      <c r="D11" s="40" t="n">
        <v>46569</v>
      </c>
      <c r="E11" s="40" t="n">
        <v>46721</v>
      </c>
      <c r="F11" s="41" t="str">
        <f aca="false">IF(AND($D11&lt;=EOMONTH(DATE(2026,10,1),0),$E11&gt;=DATE(2026,10,1)),1,"")</f>
        <v/>
      </c>
      <c r="G11" s="41" t="str">
        <f aca="false">IF(AND($D11&lt;=EOMONTH(DATE(2026,11,1),0),$E11&gt;=DATE(2026,11,1)),1,"")</f>
        <v/>
      </c>
      <c r="H11" s="41" t="str">
        <f aca="false">IF(AND($D11&lt;=EOMONTH(DATE(2026,12,1),0),$E11&gt;=DATE(2026,12,1)),1,"")</f>
        <v/>
      </c>
      <c r="I11" s="41" t="str">
        <f aca="false">IF(AND($D11&lt;=EOMONTH(DATE(2027,1,1),0),$E11&gt;=DATE(2027,1,1)),1,"")</f>
        <v/>
      </c>
      <c r="J11" s="41" t="str">
        <f aca="false">IF(AND($D11&lt;=EOMONTH(DATE(2027,2,1),0),$E11&gt;=DATE(2027,2,1)),1,"")</f>
        <v/>
      </c>
      <c r="K11" s="41" t="str">
        <f aca="false">IF(AND($D11&lt;=EOMONTH(DATE(2027,3,1),0),$E11&gt;=DATE(2027,3,1)),1,"")</f>
        <v/>
      </c>
      <c r="L11" s="41" t="str">
        <f aca="false">IF(AND($D11&lt;=EOMONTH(DATE(2027,4,1),0),$E11&gt;=DATE(2027,4,1)),1,"")</f>
        <v/>
      </c>
      <c r="M11" s="41" t="str">
        <f aca="false">IF(AND($D11&lt;=EOMONTH(DATE(2027,5,1),0),$E11&gt;=DATE(2027,5,1)),1,"")</f>
        <v/>
      </c>
      <c r="N11" s="41" t="str">
        <f aca="false">IF(AND($D11&lt;=EOMONTH(DATE(2027,6,1),0),$E11&gt;=DATE(2027,6,1)),1,"")</f>
        <v/>
      </c>
      <c r="O11" s="41" t="n">
        <f aca="false">IF(AND($D11&lt;=EOMONTH(DATE(2027,7,1),0),$E11&gt;=DATE(2027,7,1)),1,"")</f>
        <v>1</v>
      </c>
      <c r="P11" s="41" t="n">
        <f aca="false">IF(AND($D11&lt;=EOMONTH(DATE(2027,8,1),0),$E11&gt;=DATE(2027,8,1)),1,"")</f>
        <v>1</v>
      </c>
      <c r="Q11" s="41" t="n">
        <f aca="false">IF(AND($D11&lt;=EOMONTH(DATE(2027,9,1),0),$E11&gt;=DATE(2027,9,1)),1,"")</f>
        <v>1</v>
      </c>
      <c r="R11" s="41" t="n">
        <f aca="false">IF(AND($D11&lt;=EOMONTH(DATE(2027,10,1),0),$E11&gt;=DATE(2027,10,1)),1,"")</f>
        <v>1</v>
      </c>
      <c r="S11" s="41" t="n">
        <f aca="false">IF(AND($D11&lt;=EOMONTH(DATE(2027,11,1),0),$E11&gt;=DATE(2027,11,1)),1,"")</f>
        <v>1</v>
      </c>
      <c r="T11" s="41" t="str">
        <f aca="false">IF(AND($D11&lt;=EOMONTH(DATE(2027,12,1),0),$E11&gt;=DATE(2027,12,1)),1,"")</f>
        <v/>
      </c>
    </row>
    <row r="12" customFormat="false" ht="30" hidden="false" customHeight="true" outlineLevel="0" collapsed="false">
      <c r="A12" s="39" t="s">
        <v>317</v>
      </c>
      <c r="B12" s="39" t="s">
        <v>318</v>
      </c>
      <c r="C12" s="39" t="s">
        <v>319</v>
      </c>
      <c r="D12" s="40" t="n">
        <v>46328</v>
      </c>
      <c r="E12" s="40" t="n">
        <v>46416</v>
      </c>
      <c r="F12" s="41" t="str">
        <f aca="false">IF(AND($D12&lt;=EOMONTH(DATE(2026,10,1),0),$E12&gt;=DATE(2026,10,1)),1,"")</f>
        <v/>
      </c>
      <c r="G12" s="41" t="n">
        <f aca="false">IF(AND($D12&lt;=EOMONTH(DATE(2026,11,1),0),$E12&gt;=DATE(2026,11,1)),1,"")</f>
        <v>1</v>
      </c>
      <c r="H12" s="41" t="n">
        <f aca="false">IF(AND($D12&lt;=EOMONTH(DATE(2026,12,1),0),$E12&gt;=DATE(2026,12,1)),1,"")</f>
        <v>1</v>
      </c>
      <c r="I12" s="41" t="n">
        <f aca="false">IF(AND($D12&lt;=EOMONTH(DATE(2027,1,1),0),$E12&gt;=DATE(2027,1,1)),1,"")</f>
        <v>1</v>
      </c>
      <c r="J12" s="41" t="str">
        <f aca="false">IF(AND($D12&lt;=EOMONTH(DATE(2027,2,1),0),$E12&gt;=DATE(2027,2,1)),1,"")</f>
        <v/>
      </c>
      <c r="K12" s="41" t="str">
        <f aca="false">IF(AND($D12&lt;=EOMONTH(DATE(2027,3,1),0),$E12&gt;=DATE(2027,3,1)),1,"")</f>
        <v/>
      </c>
      <c r="L12" s="41" t="str">
        <f aca="false">IF(AND($D12&lt;=EOMONTH(DATE(2027,4,1),0),$E12&gt;=DATE(2027,4,1)),1,"")</f>
        <v/>
      </c>
      <c r="M12" s="41" t="str">
        <f aca="false">IF(AND($D12&lt;=EOMONTH(DATE(2027,5,1),0),$E12&gt;=DATE(2027,5,1)),1,"")</f>
        <v/>
      </c>
      <c r="N12" s="41" t="str">
        <f aca="false">IF(AND($D12&lt;=EOMONTH(DATE(2027,6,1),0),$E12&gt;=DATE(2027,6,1)),1,"")</f>
        <v/>
      </c>
      <c r="O12" s="41" t="str">
        <f aca="false">IF(AND($D12&lt;=EOMONTH(DATE(2027,7,1),0),$E12&gt;=DATE(2027,7,1)),1,"")</f>
        <v/>
      </c>
      <c r="P12" s="41" t="str">
        <f aca="false">IF(AND($D12&lt;=EOMONTH(DATE(2027,8,1),0),$E12&gt;=DATE(2027,8,1)),1,"")</f>
        <v/>
      </c>
      <c r="Q12" s="41" t="str">
        <f aca="false">IF(AND($D12&lt;=EOMONTH(DATE(2027,9,1),0),$E12&gt;=DATE(2027,9,1)),1,"")</f>
        <v/>
      </c>
      <c r="R12" s="41" t="str">
        <f aca="false">IF(AND($D12&lt;=EOMONTH(DATE(2027,10,1),0),$E12&gt;=DATE(2027,10,1)),1,"")</f>
        <v/>
      </c>
      <c r="S12" s="41" t="str">
        <f aca="false">IF(AND($D12&lt;=EOMONTH(DATE(2027,11,1),0),$E12&gt;=DATE(2027,11,1)),1,"")</f>
        <v/>
      </c>
      <c r="T12" s="41" t="str">
        <f aca="false">IF(AND($D12&lt;=EOMONTH(DATE(2027,12,1),0),$E12&gt;=DATE(2027,12,1)),1,"")</f>
        <v/>
      </c>
    </row>
    <row r="13" customFormat="false" ht="30" hidden="false" customHeight="true" outlineLevel="0" collapsed="false">
      <c r="A13" s="39" t="s">
        <v>317</v>
      </c>
      <c r="B13" s="39" t="s">
        <v>320</v>
      </c>
      <c r="C13" s="39" t="s">
        <v>319</v>
      </c>
      <c r="D13" s="40" t="n">
        <v>46419</v>
      </c>
      <c r="E13" s="40" t="n">
        <v>46568</v>
      </c>
      <c r="F13" s="41" t="str">
        <f aca="false">IF(AND($D13&lt;=EOMONTH(DATE(2026,10,1),0),$E13&gt;=DATE(2026,10,1)),1,"")</f>
        <v/>
      </c>
      <c r="G13" s="41" t="str">
        <f aca="false">IF(AND($D13&lt;=EOMONTH(DATE(2026,11,1),0),$E13&gt;=DATE(2026,11,1)),1,"")</f>
        <v/>
      </c>
      <c r="H13" s="41" t="str">
        <f aca="false">IF(AND($D13&lt;=EOMONTH(DATE(2026,12,1),0),$E13&gt;=DATE(2026,12,1)),1,"")</f>
        <v/>
      </c>
      <c r="I13" s="41" t="str">
        <f aca="false">IF(AND($D13&lt;=EOMONTH(DATE(2027,1,1),0),$E13&gt;=DATE(2027,1,1)),1,"")</f>
        <v/>
      </c>
      <c r="J13" s="41" t="n">
        <f aca="false">IF(AND($D13&lt;=EOMONTH(DATE(2027,2,1),0),$E13&gt;=DATE(2027,2,1)),1,"")</f>
        <v>1</v>
      </c>
      <c r="K13" s="41" t="n">
        <f aca="false">IF(AND($D13&lt;=EOMONTH(DATE(2027,3,1),0),$E13&gt;=DATE(2027,3,1)),1,"")</f>
        <v>1</v>
      </c>
      <c r="L13" s="41" t="n">
        <f aca="false">IF(AND($D13&lt;=EOMONTH(DATE(2027,4,1),0),$E13&gt;=DATE(2027,4,1)),1,"")</f>
        <v>1</v>
      </c>
      <c r="M13" s="41" t="n">
        <f aca="false">IF(AND($D13&lt;=EOMONTH(DATE(2027,5,1),0),$E13&gt;=DATE(2027,5,1)),1,"")</f>
        <v>1</v>
      </c>
      <c r="N13" s="41" t="n">
        <f aca="false">IF(AND($D13&lt;=EOMONTH(DATE(2027,6,1),0),$E13&gt;=DATE(2027,6,1)),1,"")</f>
        <v>1</v>
      </c>
      <c r="O13" s="41" t="str">
        <f aca="false">IF(AND($D13&lt;=EOMONTH(DATE(2027,7,1),0),$E13&gt;=DATE(2027,7,1)),1,"")</f>
        <v/>
      </c>
      <c r="P13" s="41" t="str">
        <f aca="false">IF(AND($D13&lt;=EOMONTH(DATE(2027,8,1),0),$E13&gt;=DATE(2027,8,1)),1,"")</f>
        <v/>
      </c>
      <c r="Q13" s="41" t="str">
        <f aca="false">IF(AND($D13&lt;=EOMONTH(DATE(2027,9,1),0),$E13&gt;=DATE(2027,9,1)),1,"")</f>
        <v/>
      </c>
      <c r="R13" s="41" t="str">
        <f aca="false">IF(AND($D13&lt;=EOMONTH(DATE(2027,10,1),0),$E13&gt;=DATE(2027,10,1)),1,"")</f>
        <v/>
      </c>
      <c r="S13" s="41" t="str">
        <f aca="false">IF(AND($D13&lt;=EOMONTH(DATE(2027,11,1),0),$E13&gt;=DATE(2027,11,1)),1,"")</f>
        <v/>
      </c>
      <c r="T13" s="41" t="str">
        <f aca="false">IF(AND($D13&lt;=EOMONTH(DATE(2027,12,1),0),$E13&gt;=DATE(2027,12,1)),1,"")</f>
        <v/>
      </c>
    </row>
    <row r="14" customFormat="false" ht="30" hidden="false" customHeight="true" outlineLevel="0" collapsed="false">
      <c r="A14" s="39" t="s">
        <v>79</v>
      </c>
      <c r="B14" s="39" t="s">
        <v>321</v>
      </c>
      <c r="C14" s="39" t="s">
        <v>163</v>
      </c>
      <c r="D14" s="40" t="n">
        <v>46314</v>
      </c>
      <c r="E14" s="40" t="n">
        <v>46402</v>
      </c>
      <c r="F14" s="41" t="n">
        <f aca="false">IF(AND($D14&lt;=EOMONTH(DATE(2026,10,1),0),$E14&gt;=DATE(2026,10,1)),1,"")</f>
        <v>1</v>
      </c>
      <c r="G14" s="41" t="n">
        <f aca="false">IF(AND($D14&lt;=EOMONTH(DATE(2026,11,1),0),$E14&gt;=DATE(2026,11,1)),1,"")</f>
        <v>1</v>
      </c>
      <c r="H14" s="41" t="n">
        <f aca="false">IF(AND($D14&lt;=EOMONTH(DATE(2026,12,1),0),$E14&gt;=DATE(2026,12,1)),1,"")</f>
        <v>1</v>
      </c>
      <c r="I14" s="41" t="n">
        <f aca="false">IF(AND($D14&lt;=EOMONTH(DATE(2027,1,1),0),$E14&gt;=DATE(2027,1,1)),1,"")</f>
        <v>1</v>
      </c>
      <c r="J14" s="41" t="str">
        <f aca="false">IF(AND($D14&lt;=EOMONTH(DATE(2027,2,1),0),$E14&gt;=DATE(2027,2,1)),1,"")</f>
        <v/>
      </c>
      <c r="K14" s="41" t="str">
        <f aca="false">IF(AND($D14&lt;=EOMONTH(DATE(2027,3,1),0),$E14&gt;=DATE(2027,3,1)),1,"")</f>
        <v/>
      </c>
      <c r="L14" s="41" t="str">
        <f aca="false">IF(AND($D14&lt;=EOMONTH(DATE(2027,4,1),0),$E14&gt;=DATE(2027,4,1)),1,"")</f>
        <v/>
      </c>
      <c r="M14" s="41" t="str">
        <f aca="false">IF(AND($D14&lt;=EOMONTH(DATE(2027,5,1),0),$E14&gt;=DATE(2027,5,1)),1,"")</f>
        <v/>
      </c>
      <c r="N14" s="41" t="str">
        <f aca="false">IF(AND($D14&lt;=EOMONTH(DATE(2027,6,1),0),$E14&gt;=DATE(2027,6,1)),1,"")</f>
        <v/>
      </c>
      <c r="O14" s="41" t="str">
        <f aca="false">IF(AND($D14&lt;=EOMONTH(DATE(2027,7,1),0),$E14&gt;=DATE(2027,7,1)),1,"")</f>
        <v/>
      </c>
      <c r="P14" s="41" t="str">
        <f aca="false">IF(AND($D14&lt;=EOMONTH(DATE(2027,8,1),0),$E14&gt;=DATE(2027,8,1)),1,"")</f>
        <v/>
      </c>
      <c r="Q14" s="41" t="str">
        <f aca="false">IF(AND($D14&lt;=EOMONTH(DATE(2027,9,1),0),$E14&gt;=DATE(2027,9,1)),1,"")</f>
        <v/>
      </c>
      <c r="R14" s="41" t="str">
        <f aca="false">IF(AND($D14&lt;=EOMONTH(DATE(2027,10,1),0),$E14&gt;=DATE(2027,10,1)),1,"")</f>
        <v/>
      </c>
      <c r="S14" s="41" t="str">
        <f aca="false">IF(AND($D14&lt;=EOMONTH(DATE(2027,11,1),0),$E14&gt;=DATE(2027,11,1)),1,"")</f>
        <v/>
      </c>
      <c r="T14" s="41" t="str">
        <f aca="false">IF(AND($D14&lt;=EOMONTH(DATE(2027,12,1),0),$E14&gt;=DATE(2027,12,1)),1,"")</f>
        <v/>
      </c>
    </row>
    <row r="15" customFormat="false" ht="30" hidden="false" customHeight="true" outlineLevel="0" collapsed="false">
      <c r="A15" s="39" t="s">
        <v>79</v>
      </c>
      <c r="B15" s="39" t="s">
        <v>322</v>
      </c>
      <c r="C15" s="39" t="s">
        <v>163</v>
      </c>
      <c r="D15" s="40" t="n">
        <v>46327</v>
      </c>
      <c r="E15" s="40" t="n">
        <v>46418</v>
      </c>
      <c r="F15" s="41" t="str">
        <f aca="false">IF(AND($D15&lt;=EOMONTH(DATE(2026,10,1),0),$E15&gt;=DATE(2026,10,1)),1,"")</f>
        <v/>
      </c>
      <c r="G15" s="41" t="n">
        <f aca="false">IF(AND($D15&lt;=EOMONTH(DATE(2026,11,1),0),$E15&gt;=DATE(2026,11,1)),1,"")</f>
        <v>1</v>
      </c>
      <c r="H15" s="41" t="n">
        <f aca="false">IF(AND($D15&lt;=EOMONTH(DATE(2026,12,1),0),$E15&gt;=DATE(2026,12,1)),1,"")</f>
        <v>1</v>
      </c>
      <c r="I15" s="41" t="n">
        <f aca="false">IF(AND($D15&lt;=EOMONTH(DATE(2027,1,1),0),$E15&gt;=DATE(2027,1,1)),1,"")</f>
        <v>1</v>
      </c>
      <c r="J15" s="41" t="str">
        <f aca="false">IF(AND($D15&lt;=EOMONTH(DATE(2027,2,1),0),$E15&gt;=DATE(2027,2,1)),1,"")</f>
        <v/>
      </c>
      <c r="K15" s="41" t="str">
        <f aca="false">IF(AND($D15&lt;=EOMONTH(DATE(2027,3,1),0),$E15&gt;=DATE(2027,3,1)),1,"")</f>
        <v/>
      </c>
      <c r="L15" s="41" t="str">
        <f aca="false">IF(AND($D15&lt;=EOMONTH(DATE(2027,4,1),0),$E15&gt;=DATE(2027,4,1)),1,"")</f>
        <v/>
      </c>
      <c r="M15" s="41" t="str">
        <f aca="false">IF(AND($D15&lt;=EOMONTH(DATE(2027,5,1),0),$E15&gt;=DATE(2027,5,1)),1,"")</f>
        <v/>
      </c>
      <c r="N15" s="41" t="str">
        <f aca="false">IF(AND($D15&lt;=EOMONTH(DATE(2027,6,1),0),$E15&gt;=DATE(2027,6,1)),1,"")</f>
        <v/>
      </c>
      <c r="O15" s="41" t="str">
        <f aca="false">IF(AND($D15&lt;=EOMONTH(DATE(2027,7,1),0),$E15&gt;=DATE(2027,7,1)),1,"")</f>
        <v/>
      </c>
      <c r="P15" s="41" t="str">
        <f aca="false">IF(AND($D15&lt;=EOMONTH(DATE(2027,8,1),0),$E15&gt;=DATE(2027,8,1)),1,"")</f>
        <v/>
      </c>
      <c r="Q15" s="41" t="str">
        <f aca="false">IF(AND($D15&lt;=EOMONTH(DATE(2027,9,1),0),$E15&gt;=DATE(2027,9,1)),1,"")</f>
        <v/>
      </c>
      <c r="R15" s="41" t="str">
        <f aca="false">IF(AND($D15&lt;=EOMONTH(DATE(2027,10,1),0),$E15&gt;=DATE(2027,10,1)),1,"")</f>
        <v/>
      </c>
      <c r="S15" s="41" t="str">
        <f aca="false">IF(AND($D15&lt;=EOMONTH(DATE(2027,11,1),0),$E15&gt;=DATE(2027,11,1)),1,"")</f>
        <v/>
      </c>
      <c r="T15" s="41" t="str">
        <f aca="false">IF(AND($D15&lt;=EOMONTH(DATE(2027,12,1),0),$E15&gt;=DATE(2027,12,1)),1,"")</f>
        <v/>
      </c>
    </row>
    <row r="16" customFormat="false" ht="30" hidden="false" customHeight="true" outlineLevel="0" collapsed="false">
      <c r="A16" s="39" t="s">
        <v>79</v>
      </c>
      <c r="B16" s="39" t="s">
        <v>323</v>
      </c>
      <c r="C16" s="39" t="s">
        <v>163</v>
      </c>
      <c r="D16" s="40" t="n">
        <v>46419</v>
      </c>
      <c r="E16" s="40" t="n">
        <v>46738</v>
      </c>
      <c r="F16" s="41" t="str">
        <f aca="false">IF(AND($D16&lt;=EOMONTH(DATE(2026,10,1),0),$E16&gt;=DATE(2026,10,1)),1,"")</f>
        <v/>
      </c>
      <c r="G16" s="41" t="str">
        <f aca="false">IF(AND($D16&lt;=EOMONTH(DATE(2026,11,1),0),$E16&gt;=DATE(2026,11,1)),1,"")</f>
        <v/>
      </c>
      <c r="H16" s="41" t="str">
        <f aca="false">IF(AND($D16&lt;=EOMONTH(DATE(2026,12,1),0),$E16&gt;=DATE(2026,12,1)),1,"")</f>
        <v/>
      </c>
      <c r="I16" s="41" t="str">
        <f aca="false">IF(AND($D16&lt;=EOMONTH(DATE(2027,1,1),0),$E16&gt;=DATE(2027,1,1)),1,"")</f>
        <v/>
      </c>
      <c r="J16" s="41" t="n">
        <f aca="false">IF(AND($D16&lt;=EOMONTH(DATE(2027,2,1),0),$E16&gt;=DATE(2027,2,1)),1,"")</f>
        <v>1</v>
      </c>
      <c r="K16" s="41" t="n">
        <f aca="false">IF(AND($D16&lt;=EOMONTH(DATE(2027,3,1),0),$E16&gt;=DATE(2027,3,1)),1,"")</f>
        <v>1</v>
      </c>
      <c r="L16" s="41" t="n">
        <f aca="false">IF(AND($D16&lt;=EOMONTH(DATE(2027,4,1),0),$E16&gt;=DATE(2027,4,1)),1,"")</f>
        <v>1</v>
      </c>
      <c r="M16" s="41" t="n">
        <f aca="false">IF(AND($D16&lt;=EOMONTH(DATE(2027,5,1),0),$E16&gt;=DATE(2027,5,1)),1,"")</f>
        <v>1</v>
      </c>
      <c r="N16" s="41" t="n">
        <f aca="false">IF(AND($D16&lt;=EOMONTH(DATE(2027,6,1),0),$E16&gt;=DATE(2027,6,1)),1,"")</f>
        <v>1</v>
      </c>
      <c r="O16" s="41" t="n">
        <f aca="false">IF(AND($D16&lt;=EOMONTH(DATE(2027,7,1),0),$E16&gt;=DATE(2027,7,1)),1,"")</f>
        <v>1</v>
      </c>
      <c r="P16" s="41" t="n">
        <f aca="false">IF(AND($D16&lt;=EOMONTH(DATE(2027,8,1),0),$E16&gt;=DATE(2027,8,1)),1,"")</f>
        <v>1</v>
      </c>
      <c r="Q16" s="41" t="n">
        <f aca="false">IF(AND($D16&lt;=EOMONTH(DATE(2027,9,1),0),$E16&gt;=DATE(2027,9,1)),1,"")</f>
        <v>1</v>
      </c>
      <c r="R16" s="41" t="n">
        <f aca="false">IF(AND($D16&lt;=EOMONTH(DATE(2027,10,1),0),$E16&gt;=DATE(2027,10,1)),1,"")</f>
        <v>1</v>
      </c>
      <c r="S16" s="41" t="n">
        <f aca="false">IF(AND($D16&lt;=EOMONTH(DATE(2027,11,1),0),$E16&gt;=DATE(2027,11,1)),1,"")</f>
        <v>1</v>
      </c>
      <c r="T16" s="41" t="n">
        <f aca="false">IF(AND($D16&lt;=EOMONTH(DATE(2027,12,1),0),$E16&gt;=DATE(2027,12,1)),1,"")</f>
        <v>1</v>
      </c>
    </row>
    <row r="17" customFormat="false" ht="30" hidden="false" customHeight="true" outlineLevel="0" collapsed="false">
      <c r="A17" s="39" t="s">
        <v>86</v>
      </c>
      <c r="B17" s="39" t="s">
        <v>324</v>
      </c>
      <c r="C17" s="39" t="s">
        <v>203</v>
      </c>
      <c r="D17" s="40" t="n">
        <v>46314</v>
      </c>
      <c r="E17" s="40" t="n">
        <v>46416</v>
      </c>
      <c r="F17" s="41" t="n">
        <f aca="false">IF(AND($D17&lt;=EOMONTH(DATE(2026,10,1),0),$E17&gt;=DATE(2026,10,1)),1,"")</f>
        <v>1</v>
      </c>
      <c r="G17" s="41" t="n">
        <f aca="false">IF(AND($D17&lt;=EOMONTH(DATE(2026,11,1),0),$E17&gt;=DATE(2026,11,1)),1,"")</f>
        <v>1</v>
      </c>
      <c r="H17" s="41" t="n">
        <f aca="false">IF(AND($D17&lt;=EOMONTH(DATE(2026,12,1),0),$E17&gt;=DATE(2026,12,1)),1,"")</f>
        <v>1</v>
      </c>
      <c r="I17" s="41" t="n">
        <f aca="false">IF(AND($D17&lt;=EOMONTH(DATE(2027,1,1),0),$E17&gt;=DATE(2027,1,1)),1,"")</f>
        <v>1</v>
      </c>
      <c r="J17" s="41" t="str">
        <f aca="false">IF(AND($D17&lt;=EOMONTH(DATE(2027,2,1),0),$E17&gt;=DATE(2027,2,1)),1,"")</f>
        <v/>
      </c>
      <c r="K17" s="41" t="str">
        <f aca="false">IF(AND($D17&lt;=EOMONTH(DATE(2027,3,1),0),$E17&gt;=DATE(2027,3,1)),1,"")</f>
        <v/>
      </c>
      <c r="L17" s="41" t="str">
        <f aca="false">IF(AND($D17&lt;=EOMONTH(DATE(2027,4,1),0),$E17&gt;=DATE(2027,4,1)),1,"")</f>
        <v/>
      </c>
      <c r="M17" s="41" t="str">
        <f aca="false">IF(AND($D17&lt;=EOMONTH(DATE(2027,5,1),0),$E17&gt;=DATE(2027,5,1)),1,"")</f>
        <v/>
      </c>
      <c r="N17" s="41" t="str">
        <f aca="false">IF(AND($D17&lt;=EOMONTH(DATE(2027,6,1),0),$E17&gt;=DATE(2027,6,1)),1,"")</f>
        <v/>
      </c>
      <c r="O17" s="41" t="str">
        <f aca="false">IF(AND($D17&lt;=EOMONTH(DATE(2027,7,1),0),$E17&gt;=DATE(2027,7,1)),1,"")</f>
        <v/>
      </c>
      <c r="P17" s="41" t="str">
        <f aca="false">IF(AND($D17&lt;=EOMONTH(DATE(2027,8,1),0),$E17&gt;=DATE(2027,8,1)),1,"")</f>
        <v/>
      </c>
      <c r="Q17" s="41" t="str">
        <f aca="false">IF(AND($D17&lt;=EOMONTH(DATE(2027,9,1),0),$E17&gt;=DATE(2027,9,1)),1,"")</f>
        <v/>
      </c>
      <c r="R17" s="41" t="str">
        <f aca="false">IF(AND($D17&lt;=EOMONTH(DATE(2027,10,1),0),$E17&gt;=DATE(2027,10,1)),1,"")</f>
        <v/>
      </c>
      <c r="S17" s="41" t="str">
        <f aca="false">IF(AND($D17&lt;=EOMONTH(DATE(2027,11,1),0),$E17&gt;=DATE(2027,11,1)),1,"")</f>
        <v/>
      </c>
      <c r="T17" s="41" t="str">
        <f aca="false">IF(AND($D17&lt;=EOMONTH(DATE(2027,12,1),0),$E17&gt;=DATE(2027,12,1)),1,"")</f>
        <v/>
      </c>
    </row>
    <row r="18" customFormat="false" ht="30" hidden="false" customHeight="true" outlineLevel="0" collapsed="false">
      <c r="A18" s="39" t="s">
        <v>86</v>
      </c>
      <c r="B18" s="39" t="s">
        <v>325</v>
      </c>
      <c r="C18" s="39" t="s">
        <v>203</v>
      </c>
      <c r="D18" s="40" t="n">
        <v>46357</v>
      </c>
      <c r="E18" s="40" t="n">
        <v>46568</v>
      </c>
      <c r="F18" s="41" t="str">
        <f aca="false">IF(AND($D18&lt;=EOMONTH(DATE(2026,10,1),0),$E18&gt;=DATE(2026,10,1)),1,"")</f>
        <v/>
      </c>
      <c r="G18" s="41" t="str">
        <f aca="false">IF(AND($D18&lt;=EOMONTH(DATE(2026,11,1),0),$E18&gt;=DATE(2026,11,1)),1,"")</f>
        <v/>
      </c>
      <c r="H18" s="41" t="n">
        <f aca="false">IF(AND($D18&lt;=EOMONTH(DATE(2026,12,1),0),$E18&gt;=DATE(2026,12,1)),1,"")</f>
        <v>1</v>
      </c>
      <c r="I18" s="41" t="n">
        <f aca="false">IF(AND($D18&lt;=EOMONTH(DATE(2027,1,1),0),$E18&gt;=DATE(2027,1,1)),1,"")</f>
        <v>1</v>
      </c>
      <c r="J18" s="41" t="n">
        <f aca="false">IF(AND($D18&lt;=EOMONTH(DATE(2027,2,1),0),$E18&gt;=DATE(2027,2,1)),1,"")</f>
        <v>1</v>
      </c>
      <c r="K18" s="41" t="n">
        <f aca="false">IF(AND($D18&lt;=EOMONTH(DATE(2027,3,1),0),$E18&gt;=DATE(2027,3,1)),1,"")</f>
        <v>1</v>
      </c>
      <c r="L18" s="41" t="n">
        <f aca="false">IF(AND($D18&lt;=EOMONTH(DATE(2027,4,1),0),$E18&gt;=DATE(2027,4,1)),1,"")</f>
        <v>1</v>
      </c>
      <c r="M18" s="41" t="n">
        <f aca="false">IF(AND($D18&lt;=EOMONTH(DATE(2027,5,1),0),$E18&gt;=DATE(2027,5,1)),1,"")</f>
        <v>1</v>
      </c>
      <c r="N18" s="41" t="n">
        <f aca="false">IF(AND($D18&lt;=EOMONTH(DATE(2027,6,1),0),$E18&gt;=DATE(2027,6,1)),1,"")</f>
        <v>1</v>
      </c>
      <c r="O18" s="41" t="str">
        <f aca="false">IF(AND($D18&lt;=EOMONTH(DATE(2027,7,1),0),$E18&gt;=DATE(2027,7,1)),1,"")</f>
        <v/>
      </c>
      <c r="P18" s="41" t="str">
        <f aca="false">IF(AND($D18&lt;=EOMONTH(DATE(2027,8,1),0),$E18&gt;=DATE(2027,8,1)),1,"")</f>
        <v/>
      </c>
      <c r="Q18" s="41" t="str">
        <f aca="false">IF(AND($D18&lt;=EOMONTH(DATE(2027,9,1),0),$E18&gt;=DATE(2027,9,1)),1,"")</f>
        <v/>
      </c>
      <c r="R18" s="41" t="str">
        <f aca="false">IF(AND($D18&lt;=EOMONTH(DATE(2027,10,1),0),$E18&gt;=DATE(2027,10,1)),1,"")</f>
        <v/>
      </c>
      <c r="S18" s="41" t="str">
        <f aca="false">IF(AND($D18&lt;=EOMONTH(DATE(2027,11,1),0),$E18&gt;=DATE(2027,11,1)),1,"")</f>
        <v/>
      </c>
      <c r="T18" s="41" t="str">
        <f aca="false">IF(AND($D18&lt;=EOMONTH(DATE(2027,12,1),0),$E18&gt;=DATE(2027,12,1)),1,"")</f>
        <v/>
      </c>
    </row>
    <row r="19" customFormat="false" ht="30" hidden="false" customHeight="true" outlineLevel="0" collapsed="false">
      <c r="A19" s="39" t="s">
        <v>86</v>
      </c>
      <c r="B19" s="39" t="s">
        <v>326</v>
      </c>
      <c r="C19" s="39" t="s">
        <v>203</v>
      </c>
      <c r="D19" s="40" t="n">
        <v>46478</v>
      </c>
      <c r="E19" s="40" t="n">
        <v>46738</v>
      </c>
      <c r="F19" s="41" t="str">
        <f aca="false">IF(AND($D19&lt;=EOMONTH(DATE(2026,10,1),0),$E19&gt;=DATE(2026,10,1)),1,"")</f>
        <v/>
      </c>
      <c r="G19" s="41" t="str">
        <f aca="false">IF(AND($D19&lt;=EOMONTH(DATE(2026,11,1),0),$E19&gt;=DATE(2026,11,1)),1,"")</f>
        <v/>
      </c>
      <c r="H19" s="41" t="str">
        <f aca="false">IF(AND($D19&lt;=EOMONTH(DATE(2026,12,1),0),$E19&gt;=DATE(2026,12,1)),1,"")</f>
        <v/>
      </c>
      <c r="I19" s="41" t="str">
        <f aca="false">IF(AND($D19&lt;=EOMONTH(DATE(2027,1,1),0),$E19&gt;=DATE(2027,1,1)),1,"")</f>
        <v/>
      </c>
      <c r="J19" s="41" t="str">
        <f aca="false">IF(AND($D19&lt;=EOMONTH(DATE(2027,2,1),0),$E19&gt;=DATE(2027,2,1)),1,"")</f>
        <v/>
      </c>
      <c r="K19" s="41" t="str">
        <f aca="false">IF(AND($D19&lt;=EOMONTH(DATE(2027,3,1),0),$E19&gt;=DATE(2027,3,1)),1,"")</f>
        <v/>
      </c>
      <c r="L19" s="41" t="n">
        <f aca="false">IF(AND($D19&lt;=EOMONTH(DATE(2027,4,1),0),$E19&gt;=DATE(2027,4,1)),1,"")</f>
        <v>1</v>
      </c>
      <c r="M19" s="41" t="n">
        <f aca="false">IF(AND($D19&lt;=EOMONTH(DATE(2027,5,1),0),$E19&gt;=DATE(2027,5,1)),1,"")</f>
        <v>1</v>
      </c>
      <c r="N19" s="41" t="n">
        <f aca="false">IF(AND($D19&lt;=EOMONTH(DATE(2027,6,1),0),$E19&gt;=DATE(2027,6,1)),1,"")</f>
        <v>1</v>
      </c>
      <c r="O19" s="41" t="n">
        <f aca="false">IF(AND($D19&lt;=EOMONTH(DATE(2027,7,1),0),$E19&gt;=DATE(2027,7,1)),1,"")</f>
        <v>1</v>
      </c>
      <c r="P19" s="41" t="n">
        <f aca="false">IF(AND($D19&lt;=EOMONTH(DATE(2027,8,1),0),$E19&gt;=DATE(2027,8,1)),1,"")</f>
        <v>1</v>
      </c>
      <c r="Q19" s="41" t="n">
        <f aca="false">IF(AND($D19&lt;=EOMONTH(DATE(2027,9,1),0),$E19&gt;=DATE(2027,9,1)),1,"")</f>
        <v>1</v>
      </c>
      <c r="R19" s="41" t="n">
        <f aca="false">IF(AND($D19&lt;=EOMONTH(DATE(2027,10,1),0),$E19&gt;=DATE(2027,10,1)),1,"")</f>
        <v>1</v>
      </c>
      <c r="S19" s="41" t="n">
        <f aca="false">IF(AND($D19&lt;=EOMONTH(DATE(2027,11,1),0),$E19&gt;=DATE(2027,11,1)),1,"")</f>
        <v>1</v>
      </c>
      <c r="T19" s="41" t="n">
        <f aca="false">IF(AND($D19&lt;=EOMONTH(DATE(2027,12,1),0),$E19&gt;=DATE(2027,12,1)),1,"")</f>
        <v>1</v>
      </c>
    </row>
    <row r="20" customFormat="false" ht="30" hidden="false" customHeight="true" outlineLevel="0" collapsed="false">
      <c r="A20" s="39" t="s">
        <v>327</v>
      </c>
      <c r="B20" s="39" t="s">
        <v>328</v>
      </c>
      <c r="C20" s="39" t="s">
        <v>329</v>
      </c>
      <c r="D20" s="40" t="n">
        <v>46357</v>
      </c>
      <c r="E20" s="40" t="n">
        <v>46477</v>
      </c>
      <c r="F20" s="41" t="str">
        <f aca="false">IF(AND($D20&lt;=EOMONTH(DATE(2026,10,1),0),$E20&gt;=DATE(2026,10,1)),1,"")</f>
        <v/>
      </c>
      <c r="G20" s="41" t="str">
        <f aca="false">IF(AND($D20&lt;=EOMONTH(DATE(2026,11,1),0),$E20&gt;=DATE(2026,11,1)),1,"")</f>
        <v/>
      </c>
      <c r="H20" s="41" t="n">
        <f aca="false">IF(AND($D20&lt;=EOMONTH(DATE(2026,12,1),0),$E20&gt;=DATE(2026,12,1)),1,"")</f>
        <v>1</v>
      </c>
      <c r="I20" s="41" t="n">
        <f aca="false">IF(AND($D20&lt;=EOMONTH(DATE(2027,1,1),0),$E20&gt;=DATE(2027,1,1)),1,"")</f>
        <v>1</v>
      </c>
      <c r="J20" s="41" t="n">
        <f aca="false">IF(AND($D20&lt;=EOMONTH(DATE(2027,2,1),0),$E20&gt;=DATE(2027,2,1)),1,"")</f>
        <v>1</v>
      </c>
      <c r="K20" s="41" t="n">
        <f aca="false">IF(AND($D20&lt;=EOMONTH(DATE(2027,3,1),0),$E20&gt;=DATE(2027,3,1)),1,"")</f>
        <v>1</v>
      </c>
      <c r="L20" s="41" t="str">
        <f aca="false">IF(AND($D20&lt;=EOMONTH(DATE(2027,4,1),0),$E20&gt;=DATE(2027,4,1)),1,"")</f>
        <v/>
      </c>
      <c r="M20" s="41" t="str">
        <f aca="false">IF(AND($D20&lt;=EOMONTH(DATE(2027,5,1),0),$E20&gt;=DATE(2027,5,1)),1,"")</f>
        <v/>
      </c>
      <c r="N20" s="41" t="str">
        <f aca="false">IF(AND($D20&lt;=EOMONTH(DATE(2027,6,1),0),$E20&gt;=DATE(2027,6,1)),1,"")</f>
        <v/>
      </c>
      <c r="O20" s="41" t="str">
        <f aca="false">IF(AND($D20&lt;=EOMONTH(DATE(2027,7,1),0),$E20&gt;=DATE(2027,7,1)),1,"")</f>
        <v/>
      </c>
      <c r="P20" s="41" t="str">
        <f aca="false">IF(AND($D20&lt;=EOMONTH(DATE(2027,8,1),0),$E20&gt;=DATE(2027,8,1)),1,"")</f>
        <v/>
      </c>
      <c r="Q20" s="41" t="str">
        <f aca="false">IF(AND($D20&lt;=EOMONTH(DATE(2027,9,1),0),$E20&gt;=DATE(2027,9,1)),1,"")</f>
        <v/>
      </c>
      <c r="R20" s="41" t="str">
        <f aca="false">IF(AND($D20&lt;=EOMONTH(DATE(2027,10,1),0),$E20&gt;=DATE(2027,10,1)),1,"")</f>
        <v/>
      </c>
      <c r="S20" s="41" t="str">
        <f aca="false">IF(AND($D20&lt;=EOMONTH(DATE(2027,11,1),0),$E20&gt;=DATE(2027,11,1)),1,"")</f>
        <v/>
      </c>
      <c r="T20" s="41" t="str">
        <f aca="false">IF(AND($D20&lt;=EOMONTH(DATE(2027,12,1),0),$E20&gt;=DATE(2027,12,1)),1,"")</f>
        <v/>
      </c>
    </row>
    <row r="21" customFormat="false" ht="30" hidden="false" customHeight="true" outlineLevel="0" collapsed="false">
      <c r="A21" s="39" t="s">
        <v>327</v>
      </c>
      <c r="B21" s="39" t="s">
        <v>330</v>
      </c>
      <c r="C21" s="39" t="s">
        <v>329</v>
      </c>
      <c r="D21" s="40" t="n">
        <v>46419</v>
      </c>
      <c r="E21" s="40" t="n">
        <v>46738</v>
      </c>
      <c r="F21" s="41" t="str">
        <f aca="false">IF(AND($D21&lt;=EOMONTH(DATE(2026,10,1),0),$E21&gt;=DATE(2026,10,1)),1,"")</f>
        <v/>
      </c>
      <c r="G21" s="41" t="str">
        <f aca="false">IF(AND($D21&lt;=EOMONTH(DATE(2026,11,1),0),$E21&gt;=DATE(2026,11,1)),1,"")</f>
        <v/>
      </c>
      <c r="H21" s="41" t="str">
        <f aca="false">IF(AND($D21&lt;=EOMONTH(DATE(2026,12,1),0),$E21&gt;=DATE(2026,12,1)),1,"")</f>
        <v/>
      </c>
      <c r="I21" s="41" t="str">
        <f aca="false">IF(AND($D21&lt;=EOMONTH(DATE(2027,1,1),0),$E21&gt;=DATE(2027,1,1)),1,"")</f>
        <v/>
      </c>
      <c r="J21" s="41" t="n">
        <f aca="false">IF(AND($D21&lt;=EOMONTH(DATE(2027,2,1),0),$E21&gt;=DATE(2027,2,1)),1,"")</f>
        <v>1</v>
      </c>
      <c r="K21" s="41" t="n">
        <f aca="false">IF(AND($D21&lt;=EOMONTH(DATE(2027,3,1),0),$E21&gt;=DATE(2027,3,1)),1,"")</f>
        <v>1</v>
      </c>
      <c r="L21" s="41" t="n">
        <f aca="false">IF(AND($D21&lt;=EOMONTH(DATE(2027,4,1),0),$E21&gt;=DATE(2027,4,1)),1,"")</f>
        <v>1</v>
      </c>
      <c r="M21" s="41" t="n">
        <f aca="false">IF(AND($D21&lt;=EOMONTH(DATE(2027,5,1),0),$E21&gt;=DATE(2027,5,1)),1,"")</f>
        <v>1</v>
      </c>
      <c r="N21" s="41" t="n">
        <f aca="false">IF(AND($D21&lt;=EOMONTH(DATE(2027,6,1),0),$E21&gt;=DATE(2027,6,1)),1,"")</f>
        <v>1</v>
      </c>
      <c r="O21" s="41" t="n">
        <f aca="false">IF(AND($D21&lt;=EOMONTH(DATE(2027,7,1),0),$E21&gt;=DATE(2027,7,1)),1,"")</f>
        <v>1</v>
      </c>
      <c r="P21" s="41" t="n">
        <f aca="false">IF(AND($D21&lt;=EOMONTH(DATE(2027,8,1),0),$E21&gt;=DATE(2027,8,1)),1,"")</f>
        <v>1</v>
      </c>
      <c r="Q21" s="41" t="n">
        <f aca="false">IF(AND($D21&lt;=EOMONTH(DATE(2027,9,1),0),$E21&gt;=DATE(2027,9,1)),1,"")</f>
        <v>1</v>
      </c>
      <c r="R21" s="41" t="n">
        <f aca="false">IF(AND($D21&lt;=EOMONTH(DATE(2027,10,1),0),$E21&gt;=DATE(2027,10,1)),1,"")</f>
        <v>1</v>
      </c>
      <c r="S21" s="41" t="n">
        <f aca="false">IF(AND($D21&lt;=EOMONTH(DATE(2027,11,1),0),$E21&gt;=DATE(2027,11,1)),1,"")</f>
        <v>1</v>
      </c>
      <c r="T21" s="41" t="n">
        <f aca="false">IF(AND($D21&lt;=EOMONTH(DATE(2027,12,1),0),$E21&gt;=DATE(2027,12,1)),1,"")</f>
        <v>1</v>
      </c>
    </row>
    <row r="22" customFormat="false" ht="30" hidden="false" customHeight="true" outlineLevel="0" collapsed="false">
      <c r="A22" s="39" t="s">
        <v>331</v>
      </c>
      <c r="B22" s="39" t="s">
        <v>332</v>
      </c>
      <c r="C22" s="39" t="s">
        <v>197</v>
      </c>
      <c r="D22" s="40" t="n">
        <v>46314</v>
      </c>
      <c r="E22" s="40" t="n">
        <v>46477</v>
      </c>
      <c r="F22" s="41" t="n">
        <f aca="false">IF(AND($D22&lt;=EOMONTH(DATE(2026,10,1),0),$E22&gt;=DATE(2026,10,1)),1,"")</f>
        <v>1</v>
      </c>
      <c r="G22" s="41" t="n">
        <f aca="false">IF(AND($D22&lt;=EOMONTH(DATE(2026,11,1),0),$E22&gt;=DATE(2026,11,1)),1,"")</f>
        <v>1</v>
      </c>
      <c r="H22" s="41" t="n">
        <f aca="false">IF(AND($D22&lt;=EOMONTH(DATE(2026,12,1),0),$E22&gt;=DATE(2026,12,1)),1,"")</f>
        <v>1</v>
      </c>
      <c r="I22" s="41" t="n">
        <f aca="false">IF(AND($D22&lt;=EOMONTH(DATE(2027,1,1),0),$E22&gt;=DATE(2027,1,1)),1,"")</f>
        <v>1</v>
      </c>
      <c r="J22" s="41" t="n">
        <f aca="false">IF(AND($D22&lt;=EOMONTH(DATE(2027,2,1),0),$E22&gt;=DATE(2027,2,1)),1,"")</f>
        <v>1</v>
      </c>
      <c r="K22" s="41" t="n">
        <f aca="false">IF(AND($D22&lt;=EOMONTH(DATE(2027,3,1),0),$E22&gt;=DATE(2027,3,1)),1,"")</f>
        <v>1</v>
      </c>
      <c r="L22" s="41" t="str">
        <f aca="false">IF(AND($D22&lt;=EOMONTH(DATE(2027,4,1),0),$E22&gt;=DATE(2027,4,1)),1,"")</f>
        <v/>
      </c>
      <c r="M22" s="41" t="str">
        <f aca="false">IF(AND($D22&lt;=EOMONTH(DATE(2027,5,1),0),$E22&gt;=DATE(2027,5,1)),1,"")</f>
        <v/>
      </c>
      <c r="N22" s="41" t="str">
        <f aca="false">IF(AND($D22&lt;=EOMONTH(DATE(2027,6,1),0),$E22&gt;=DATE(2027,6,1)),1,"")</f>
        <v/>
      </c>
      <c r="O22" s="41" t="str">
        <f aca="false">IF(AND($D22&lt;=EOMONTH(DATE(2027,7,1),0),$E22&gt;=DATE(2027,7,1)),1,"")</f>
        <v/>
      </c>
      <c r="P22" s="41" t="str">
        <f aca="false">IF(AND($D22&lt;=EOMONTH(DATE(2027,8,1),0),$E22&gt;=DATE(2027,8,1)),1,"")</f>
        <v/>
      </c>
      <c r="Q22" s="41" t="str">
        <f aca="false">IF(AND($D22&lt;=EOMONTH(DATE(2027,9,1),0),$E22&gt;=DATE(2027,9,1)),1,"")</f>
        <v/>
      </c>
      <c r="R22" s="41" t="str">
        <f aca="false">IF(AND($D22&lt;=EOMONTH(DATE(2027,10,1),0),$E22&gt;=DATE(2027,10,1)),1,"")</f>
        <v/>
      </c>
      <c r="S22" s="41" t="str">
        <f aca="false">IF(AND($D22&lt;=EOMONTH(DATE(2027,11,1),0),$E22&gt;=DATE(2027,11,1)),1,"")</f>
        <v/>
      </c>
      <c r="T22" s="41" t="str">
        <f aca="false">IF(AND($D22&lt;=EOMONTH(DATE(2027,12,1),0),$E22&gt;=DATE(2027,12,1)),1,"")</f>
        <v/>
      </c>
    </row>
    <row r="23" customFormat="false" ht="30" hidden="false" customHeight="true" outlineLevel="0" collapsed="false">
      <c r="A23" s="39" t="s">
        <v>331</v>
      </c>
      <c r="B23" s="39" t="s">
        <v>333</v>
      </c>
      <c r="C23" s="39" t="s">
        <v>237</v>
      </c>
      <c r="D23" s="40" t="n">
        <v>46391</v>
      </c>
      <c r="E23" s="40" t="n">
        <v>46568</v>
      </c>
      <c r="F23" s="41" t="str">
        <f aca="false">IF(AND($D23&lt;=EOMONTH(DATE(2026,10,1),0),$E23&gt;=DATE(2026,10,1)),1,"")</f>
        <v/>
      </c>
      <c r="G23" s="41" t="str">
        <f aca="false">IF(AND($D23&lt;=EOMONTH(DATE(2026,11,1),0),$E23&gt;=DATE(2026,11,1)),1,"")</f>
        <v/>
      </c>
      <c r="H23" s="41" t="str">
        <f aca="false">IF(AND($D23&lt;=EOMONTH(DATE(2026,12,1),0),$E23&gt;=DATE(2026,12,1)),1,"")</f>
        <v/>
      </c>
      <c r="I23" s="41" t="n">
        <f aca="false">IF(AND($D23&lt;=EOMONTH(DATE(2027,1,1),0),$E23&gt;=DATE(2027,1,1)),1,"")</f>
        <v>1</v>
      </c>
      <c r="J23" s="41" t="n">
        <f aca="false">IF(AND($D23&lt;=EOMONTH(DATE(2027,2,1),0),$E23&gt;=DATE(2027,2,1)),1,"")</f>
        <v>1</v>
      </c>
      <c r="K23" s="41" t="n">
        <f aca="false">IF(AND($D23&lt;=EOMONTH(DATE(2027,3,1),0),$E23&gt;=DATE(2027,3,1)),1,"")</f>
        <v>1</v>
      </c>
      <c r="L23" s="41" t="n">
        <f aca="false">IF(AND($D23&lt;=EOMONTH(DATE(2027,4,1),0),$E23&gt;=DATE(2027,4,1)),1,"")</f>
        <v>1</v>
      </c>
      <c r="M23" s="41" t="n">
        <f aca="false">IF(AND($D23&lt;=EOMONTH(DATE(2027,5,1),0),$E23&gt;=DATE(2027,5,1)),1,"")</f>
        <v>1</v>
      </c>
      <c r="N23" s="41" t="n">
        <f aca="false">IF(AND($D23&lt;=EOMONTH(DATE(2027,6,1),0),$E23&gt;=DATE(2027,6,1)),1,"")</f>
        <v>1</v>
      </c>
      <c r="O23" s="41" t="str">
        <f aca="false">IF(AND($D23&lt;=EOMONTH(DATE(2027,7,1),0),$E23&gt;=DATE(2027,7,1)),1,"")</f>
        <v/>
      </c>
      <c r="P23" s="41" t="str">
        <f aca="false">IF(AND($D23&lt;=EOMONTH(DATE(2027,8,1),0),$E23&gt;=DATE(2027,8,1)),1,"")</f>
        <v/>
      </c>
      <c r="Q23" s="41" t="str">
        <f aca="false">IF(AND($D23&lt;=EOMONTH(DATE(2027,9,1),0),$E23&gt;=DATE(2027,9,1)),1,"")</f>
        <v/>
      </c>
      <c r="R23" s="41" t="str">
        <f aca="false">IF(AND($D23&lt;=EOMONTH(DATE(2027,10,1),0),$E23&gt;=DATE(2027,10,1)),1,"")</f>
        <v/>
      </c>
      <c r="S23" s="41" t="str">
        <f aca="false">IF(AND($D23&lt;=EOMONTH(DATE(2027,11,1),0),$E23&gt;=DATE(2027,11,1)),1,"")</f>
        <v/>
      </c>
      <c r="T23" s="41" t="str">
        <f aca="false">IF(AND($D23&lt;=EOMONTH(DATE(2027,12,1),0),$E23&gt;=DATE(2027,12,1)),1,"")</f>
        <v/>
      </c>
    </row>
    <row r="24" customFormat="false" ht="30" hidden="false" customHeight="true" outlineLevel="0" collapsed="false">
      <c r="A24" s="39" t="s">
        <v>331</v>
      </c>
      <c r="B24" s="39" t="s">
        <v>334</v>
      </c>
      <c r="C24" s="39" t="s">
        <v>197</v>
      </c>
      <c r="D24" s="40" t="n">
        <v>46569</v>
      </c>
      <c r="E24" s="40" t="n">
        <v>46689</v>
      </c>
      <c r="F24" s="41" t="str">
        <f aca="false">IF(AND($D24&lt;=EOMONTH(DATE(2026,10,1),0),$E24&gt;=DATE(2026,10,1)),1,"")</f>
        <v/>
      </c>
      <c r="G24" s="41" t="str">
        <f aca="false">IF(AND($D24&lt;=EOMONTH(DATE(2026,11,1),0),$E24&gt;=DATE(2026,11,1)),1,"")</f>
        <v/>
      </c>
      <c r="H24" s="41" t="str">
        <f aca="false">IF(AND($D24&lt;=EOMONTH(DATE(2026,12,1),0),$E24&gt;=DATE(2026,12,1)),1,"")</f>
        <v/>
      </c>
      <c r="I24" s="41" t="str">
        <f aca="false">IF(AND($D24&lt;=EOMONTH(DATE(2027,1,1),0),$E24&gt;=DATE(2027,1,1)),1,"")</f>
        <v/>
      </c>
      <c r="J24" s="41" t="str">
        <f aca="false">IF(AND($D24&lt;=EOMONTH(DATE(2027,2,1),0),$E24&gt;=DATE(2027,2,1)),1,"")</f>
        <v/>
      </c>
      <c r="K24" s="41" t="str">
        <f aca="false">IF(AND($D24&lt;=EOMONTH(DATE(2027,3,1),0),$E24&gt;=DATE(2027,3,1)),1,"")</f>
        <v/>
      </c>
      <c r="L24" s="41" t="str">
        <f aca="false">IF(AND($D24&lt;=EOMONTH(DATE(2027,4,1),0),$E24&gt;=DATE(2027,4,1)),1,"")</f>
        <v/>
      </c>
      <c r="M24" s="41" t="str">
        <f aca="false">IF(AND($D24&lt;=EOMONTH(DATE(2027,5,1),0),$E24&gt;=DATE(2027,5,1)),1,"")</f>
        <v/>
      </c>
      <c r="N24" s="41" t="str">
        <f aca="false">IF(AND($D24&lt;=EOMONTH(DATE(2027,6,1),0),$E24&gt;=DATE(2027,6,1)),1,"")</f>
        <v/>
      </c>
      <c r="O24" s="41" t="n">
        <f aca="false">IF(AND($D24&lt;=EOMONTH(DATE(2027,7,1),0),$E24&gt;=DATE(2027,7,1)),1,"")</f>
        <v>1</v>
      </c>
      <c r="P24" s="41" t="n">
        <f aca="false">IF(AND($D24&lt;=EOMONTH(DATE(2027,8,1),0),$E24&gt;=DATE(2027,8,1)),1,"")</f>
        <v>1</v>
      </c>
      <c r="Q24" s="41" t="n">
        <f aca="false">IF(AND($D24&lt;=EOMONTH(DATE(2027,9,1),0),$E24&gt;=DATE(2027,9,1)),1,"")</f>
        <v>1</v>
      </c>
      <c r="R24" s="41" t="n">
        <f aca="false">IF(AND($D24&lt;=EOMONTH(DATE(2027,10,1),0),$E24&gt;=DATE(2027,10,1)),1,"")</f>
        <v>1</v>
      </c>
      <c r="S24" s="41" t="str">
        <f aca="false">IF(AND($D24&lt;=EOMONTH(DATE(2027,11,1),0),$E24&gt;=DATE(2027,11,1)),1,"")</f>
        <v/>
      </c>
      <c r="T24" s="41" t="str">
        <f aca="false">IF(AND($D24&lt;=EOMONTH(DATE(2027,12,1),0),$E24&gt;=DATE(2027,12,1)),1,"")</f>
        <v/>
      </c>
    </row>
    <row r="25" customFormat="false" ht="30" hidden="false" customHeight="true" outlineLevel="0" collapsed="false">
      <c r="A25" s="39" t="s">
        <v>335</v>
      </c>
      <c r="B25" s="39" t="s">
        <v>336</v>
      </c>
      <c r="C25" s="39" t="s">
        <v>306</v>
      </c>
      <c r="D25" s="40" t="n">
        <v>46510</v>
      </c>
      <c r="E25" s="40" t="n">
        <v>46660</v>
      </c>
      <c r="F25" s="41" t="str">
        <f aca="false">IF(AND($D25&lt;=EOMONTH(DATE(2026,10,1),0),$E25&gt;=DATE(2026,10,1)),1,"")</f>
        <v/>
      </c>
      <c r="G25" s="41" t="str">
        <f aca="false">IF(AND($D25&lt;=EOMONTH(DATE(2026,11,1),0),$E25&gt;=DATE(2026,11,1)),1,"")</f>
        <v/>
      </c>
      <c r="H25" s="41" t="str">
        <f aca="false">IF(AND($D25&lt;=EOMONTH(DATE(2026,12,1),0),$E25&gt;=DATE(2026,12,1)),1,"")</f>
        <v/>
      </c>
      <c r="I25" s="41" t="str">
        <f aca="false">IF(AND($D25&lt;=EOMONTH(DATE(2027,1,1),0),$E25&gt;=DATE(2027,1,1)),1,"")</f>
        <v/>
      </c>
      <c r="J25" s="41" t="str">
        <f aca="false">IF(AND($D25&lt;=EOMONTH(DATE(2027,2,1),0),$E25&gt;=DATE(2027,2,1)),1,"")</f>
        <v/>
      </c>
      <c r="K25" s="41" t="str">
        <f aca="false">IF(AND($D25&lt;=EOMONTH(DATE(2027,3,1),0),$E25&gt;=DATE(2027,3,1)),1,"")</f>
        <v/>
      </c>
      <c r="L25" s="41" t="str">
        <f aca="false">IF(AND($D25&lt;=EOMONTH(DATE(2027,4,1),0),$E25&gt;=DATE(2027,4,1)),1,"")</f>
        <v/>
      </c>
      <c r="M25" s="41" t="n">
        <f aca="false">IF(AND($D25&lt;=EOMONTH(DATE(2027,5,1),0),$E25&gt;=DATE(2027,5,1)),1,"")</f>
        <v>1</v>
      </c>
      <c r="N25" s="41" t="n">
        <f aca="false">IF(AND($D25&lt;=EOMONTH(DATE(2027,6,1),0),$E25&gt;=DATE(2027,6,1)),1,"")</f>
        <v>1</v>
      </c>
      <c r="O25" s="41" t="n">
        <f aca="false">IF(AND($D25&lt;=EOMONTH(DATE(2027,7,1),0),$E25&gt;=DATE(2027,7,1)),1,"")</f>
        <v>1</v>
      </c>
      <c r="P25" s="41" t="n">
        <f aca="false">IF(AND($D25&lt;=EOMONTH(DATE(2027,8,1),0),$E25&gt;=DATE(2027,8,1)),1,"")</f>
        <v>1</v>
      </c>
      <c r="Q25" s="41" t="n">
        <f aca="false">IF(AND($D25&lt;=EOMONTH(DATE(2027,9,1),0),$E25&gt;=DATE(2027,9,1)),1,"")</f>
        <v>1</v>
      </c>
      <c r="R25" s="41" t="str">
        <f aca="false">IF(AND($D25&lt;=EOMONTH(DATE(2027,10,1),0),$E25&gt;=DATE(2027,10,1)),1,"")</f>
        <v/>
      </c>
      <c r="S25" s="41" t="str">
        <f aca="false">IF(AND($D25&lt;=EOMONTH(DATE(2027,11,1),0),$E25&gt;=DATE(2027,11,1)),1,"")</f>
        <v/>
      </c>
      <c r="T25" s="41" t="str">
        <f aca="false">IF(AND($D25&lt;=EOMONTH(DATE(2027,12,1),0),$E25&gt;=DATE(2027,12,1)),1,"")</f>
        <v/>
      </c>
    </row>
  </sheetData>
  <conditionalFormatting sqref="F5:T25">
    <cfRule type="expression" priority="2" aboveAverage="0" equalAverage="0" bottom="0" percent="0" rank="0" text="" dxfId="16">
      <formula>AND(F5=1,$A5="Governance")</formula>
    </cfRule>
    <cfRule type="expression" priority="3" aboveAverage="0" equalAverage="0" bottom="0" percent="0" rank="0" text="" dxfId="17">
      <formula>AND(F5=1,$A5="UX / Fiori")</formula>
    </cfRule>
    <cfRule type="expression" priority="4" aboveAverage="0" equalAverage="0" bottom="0" percent="0" rank="0" text="" dxfId="18">
      <formula>AND(F5=1,$A5="Work Zone")</formula>
    </cfRule>
    <cfRule type="expression" priority="5" aboveAverage="0" equalAverage="0" bottom="0" percent="0" rank="0" text="" dxfId="19">
      <formula>AND(F5=1,$A5="Integration")</formula>
    </cfRule>
    <cfRule type="expression" priority="6" aboveAverage="0" equalAverage="0" bottom="0" percent="0" rank="0" text="" dxfId="20">
      <formula>AND(F5=1,$A5="Data")</formula>
    </cfRule>
    <cfRule type="expression" priority="7" aboveAverage="0" equalAverage="0" bottom="0" percent="0" rank="0" text="" dxfId="21">
      <formula>AND(F5=1,$A5="Clean Core")</formula>
    </cfRule>
    <cfRule type="expression" priority="8" aboveAverage="0" equalAverage="0" bottom="0" percent="0" rank="0" text="" dxfId="22">
      <formula>AND(F5=1,$A5="Platform / Ops")</formula>
    </cfRule>
    <cfRule type="expression" priority="9" aboveAverage="0" equalAverage="0" bottom="0" percent="0" rank="0" text="" dxfId="23">
      <formula>AND(F5=1,$A5="Innovation")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4" customFormat="false" ht="15" hidden="false" customHeight="false" outlineLevel="0" collapsed="false">
      <c r="A4" s="11" t="s">
        <v>339</v>
      </c>
      <c r="B4" s="11" t="s">
        <v>340</v>
      </c>
      <c r="C4" s="11" t="s">
        <v>341</v>
      </c>
      <c r="D4" s="11" t="s">
        <v>342</v>
      </c>
      <c r="E4" s="11" t="s">
        <v>343</v>
      </c>
      <c r="F4" s="11" t="s">
        <v>344</v>
      </c>
      <c r="G4" s="11" t="s">
        <v>284</v>
      </c>
    </row>
    <row r="5" customFormat="false" ht="15" hidden="false" customHeight="false" outlineLevel="0" collapsed="false">
      <c r="A5" s="42" t="s">
        <v>345</v>
      </c>
      <c r="B5" s="42" t="s">
        <v>346</v>
      </c>
      <c r="C5" s="42" t="s">
        <v>347</v>
      </c>
      <c r="D5" s="42" t="s">
        <v>348</v>
      </c>
      <c r="E5" s="42" t="s">
        <v>349</v>
      </c>
      <c r="F5" s="42" t="s">
        <v>350</v>
      </c>
      <c r="G5" s="42" t="s">
        <v>351</v>
      </c>
    </row>
    <row r="6" customFormat="false" ht="23.85" hidden="false" customHeight="false" outlineLevel="0" collapsed="false">
      <c r="A6" s="42" t="s">
        <v>352</v>
      </c>
      <c r="B6" s="42" t="s">
        <v>353</v>
      </c>
      <c r="C6" s="42" t="s">
        <v>354</v>
      </c>
      <c r="D6" s="42" t="s">
        <v>355</v>
      </c>
      <c r="E6" s="42" t="s">
        <v>356</v>
      </c>
      <c r="F6" s="42" t="s">
        <v>357</v>
      </c>
      <c r="G6" s="42" t="s">
        <v>358</v>
      </c>
    </row>
    <row r="7" customFormat="false" ht="15" hidden="false" customHeight="false" outlineLevel="0" collapsed="false">
      <c r="A7" s="42" t="s">
        <v>359</v>
      </c>
      <c r="B7" s="42" t="s">
        <v>360</v>
      </c>
      <c r="C7" s="42" t="s">
        <v>361</v>
      </c>
      <c r="D7" s="42" t="s">
        <v>362</v>
      </c>
      <c r="E7" s="42" t="s">
        <v>363</v>
      </c>
      <c r="F7" s="42" t="s">
        <v>364</v>
      </c>
      <c r="G7" s="42" t="s">
        <v>358</v>
      </c>
    </row>
    <row r="8" customFormat="false" ht="15" hidden="false" customHeight="false" outlineLevel="0" collapsed="false">
      <c r="A8" s="42" t="s">
        <v>365</v>
      </c>
      <c r="B8" s="42" t="s">
        <v>366</v>
      </c>
      <c r="C8" s="42" t="s">
        <v>367</v>
      </c>
      <c r="D8" s="42" t="s">
        <v>368</v>
      </c>
      <c r="E8" s="42" t="s">
        <v>369</v>
      </c>
      <c r="F8" s="42" t="s">
        <v>370</v>
      </c>
      <c r="G8" s="42" t="s">
        <v>351</v>
      </c>
    </row>
    <row r="9" customFormat="false" ht="15" hidden="false" customHeight="false" outlineLevel="0" collapsed="false">
      <c r="A9" s="42" t="s">
        <v>371</v>
      </c>
      <c r="B9" s="42" t="s">
        <v>366</v>
      </c>
      <c r="C9" s="42" t="s">
        <v>372</v>
      </c>
      <c r="D9" s="42" t="s">
        <v>373</v>
      </c>
      <c r="E9" s="42" t="s">
        <v>374</v>
      </c>
      <c r="F9" s="42" t="s">
        <v>375</v>
      </c>
      <c r="G9" s="42" t="s">
        <v>358</v>
      </c>
    </row>
    <row r="10" customFormat="false" ht="15" hidden="false" customHeight="false" outlineLevel="0" collapsed="false">
      <c r="A10" s="42" t="s">
        <v>376</v>
      </c>
      <c r="B10" s="42" t="s">
        <v>366</v>
      </c>
      <c r="C10" s="42" t="s">
        <v>354</v>
      </c>
      <c r="D10" s="42" t="s">
        <v>348</v>
      </c>
      <c r="E10" s="42" t="s">
        <v>377</v>
      </c>
      <c r="F10" s="42" t="s">
        <v>378</v>
      </c>
      <c r="G10" s="42" t="s">
        <v>351</v>
      </c>
    </row>
    <row r="11" customFormat="false" ht="23.85" hidden="false" customHeight="false" outlineLevel="0" collapsed="false">
      <c r="A11" s="42" t="s">
        <v>379</v>
      </c>
      <c r="B11" s="42" t="s">
        <v>380</v>
      </c>
      <c r="C11" s="42" t="s">
        <v>381</v>
      </c>
      <c r="D11" s="42" t="s">
        <v>382</v>
      </c>
      <c r="E11" s="42" t="s">
        <v>383</v>
      </c>
      <c r="F11" s="42" t="s">
        <v>384</v>
      </c>
      <c r="G11" s="42" t="s">
        <v>246</v>
      </c>
    </row>
    <row r="12" customFormat="false" ht="15" hidden="false" customHeight="false" outlineLevel="0" collapsed="false">
      <c r="A12" s="42" t="s">
        <v>385</v>
      </c>
      <c r="B12" s="42" t="s">
        <v>386</v>
      </c>
      <c r="C12" s="42" t="s">
        <v>381</v>
      </c>
      <c r="D12" s="42" t="s">
        <v>387</v>
      </c>
      <c r="E12" s="42" t="s">
        <v>388</v>
      </c>
      <c r="F12" s="42" t="s">
        <v>389</v>
      </c>
      <c r="G12" s="42" t="s">
        <v>154</v>
      </c>
    </row>
    <row r="13" customFormat="false" ht="15" hidden="false" customHeight="false" outlineLevel="0" collapsed="false">
      <c r="A13" s="42" t="s">
        <v>390</v>
      </c>
      <c r="B13" s="42" t="s">
        <v>391</v>
      </c>
      <c r="C13" s="42" t="s">
        <v>392</v>
      </c>
      <c r="D13" s="42" t="s">
        <v>393</v>
      </c>
      <c r="E13" s="42" t="s">
        <v>394</v>
      </c>
      <c r="F13" s="42" t="s">
        <v>395</v>
      </c>
      <c r="G13" s="42" t="s">
        <v>304</v>
      </c>
    </row>
    <row r="14" customFormat="false" ht="15" hidden="false" customHeight="false" outlineLevel="0" collapsed="false">
      <c r="A14" s="42" t="s">
        <v>396</v>
      </c>
      <c r="B14" s="42" t="s">
        <v>391</v>
      </c>
      <c r="C14" s="42" t="s">
        <v>381</v>
      </c>
      <c r="D14" s="42" t="s">
        <v>397</v>
      </c>
      <c r="E14" s="42" t="s">
        <v>398</v>
      </c>
      <c r="F14" s="42" t="s">
        <v>399</v>
      </c>
      <c r="G14" s="42" t="s">
        <v>246</v>
      </c>
    </row>
    <row r="15" customFormat="false" ht="23.85" hidden="false" customHeight="false" outlineLevel="0" collapsed="false">
      <c r="A15" s="42" t="s">
        <v>400</v>
      </c>
      <c r="B15" s="42" t="s">
        <v>401</v>
      </c>
      <c r="C15" s="42" t="s">
        <v>402</v>
      </c>
      <c r="D15" s="42" t="s">
        <v>403</v>
      </c>
      <c r="E15" s="42" t="s">
        <v>404</v>
      </c>
      <c r="F15" s="42" t="s">
        <v>405</v>
      </c>
      <c r="G15" s="4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16" min="4" style="0" width="10"/>
    <col collapsed="false" customWidth="true" hidden="false" outlineLevel="0" max="17" min="17" style="0" width="9"/>
    <col collapsed="false" customWidth="true" hidden="false" outlineLevel="0" max="19" min="18" style="0" width="12"/>
  </cols>
  <sheetData>
    <row r="1" customFormat="false" ht="19.7" hidden="false" customHeight="false" outlineLevel="0" collapsed="false">
      <c r="A1" s="1" t="s">
        <v>406</v>
      </c>
    </row>
    <row r="2" customFormat="false" ht="15" hidden="false" customHeight="false" outlineLevel="0" collapsed="false">
      <c r="A2" s="2" t="s">
        <v>407</v>
      </c>
    </row>
    <row r="4" customFormat="false" ht="42" hidden="false" customHeight="true" outlineLevel="0" collapsed="false">
      <c r="A4" s="11" t="s">
        <v>408</v>
      </c>
      <c r="B4" s="11" t="s">
        <v>285</v>
      </c>
      <c r="C4" s="11" t="s">
        <v>286</v>
      </c>
      <c r="D4" s="11" t="s">
        <v>409</v>
      </c>
      <c r="E4" s="11" t="s">
        <v>410</v>
      </c>
      <c r="F4" s="11" t="s">
        <v>411</v>
      </c>
      <c r="G4" s="11" t="s">
        <v>412</v>
      </c>
      <c r="H4" s="11" t="s">
        <v>413</v>
      </c>
      <c r="I4" s="11" t="s">
        <v>414</v>
      </c>
      <c r="J4" s="11" t="s">
        <v>415</v>
      </c>
      <c r="K4" s="11" t="s">
        <v>416</v>
      </c>
      <c r="L4" s="11" t="s">
        <v>417</v>
      </c>
      <c r="M4" s="11" t="s">
        <v>418</v>
      </c>
      <c r="N4" s="11" t="s">
        <v>419</v>
      </c>
      <c r="O4" s="11" t="s">
        <v>420</v>
      </c>
      <c r="P4" s="11" t="s">
        <v>421</v>
      </c>
      <c r="Q4" s="11" t="s">
        <v>422</v>
      </c>
      <c r="R4" s="11" t="s">
        <v>423</v>
      </c>
      <c r="S4" s="11" t="s">
        <v>424</v>
      </c>
    </row>
    <row r="5" customFormat="false" ht="15" hidden="false" customHeight="false" outlineLevel="0" collapsed="false">
      <c r="A5" s="13" t="s">
        <v>425</v>
      </c>
      <c r="B5" s="43" t="n">
        <f aca="false">Settings!$B$10+0</f>
        <v>46300</v>
      </c>
      <c r="C5" s="43" t="n">
        <f aca="false">B5+11</f>
        <v>46311</v>
      </c>
      <c r="D5" s="21" t="n">
        <v>40</v>
      </c>
      <c r="E5" s="21" t="n">
        <v>12</v>
      </c>
      <c r="F5" s="21" t="n">
        <v>8</v>
      </c>
      <c r="G5" s="21" t="n">
        <v>10</v>
      </c>
      <c r="H5" s="21" t="n">
        <v>8</v>
      </c>
      <c r="I5" s="21" t="n">
        <v>2</v>
      </c>
      <c r="J5" s="21" t="n">
        <v>10</v>
      </c>
      <c r="K5" s="21" t="n">
        <v>6</v>
      </c>
      <c r="L5" s="21" t="n">
        <v>9</v>
      </c>
      <c r="M5" s="21" t="n">
        <v>6</v>
      </c>
      <c r="N5" s="21" t="n">
        <v>2</v>
      </c>
      <c r="O5" s="32" t="n">
        <f aca="false">SUM(E5:I5)</f>
        <v>40</v>
      </c>
      <c r="P5" s="32" t="n">
        <f aca="false">SUM(J5:N5)</f>
        <v>33</v>
      </c>
      <c r="Q5" s="33" t="n">
        <f aca="false">IF(O5=0,"",P5/O5)</f>
        <v>0.825</v>
      </c>
      <c r="R5" s="33" t="n">
        <f aca="false">IF(P5=0,"",L5/P5)</f>
        <v>0.272727272727273</v>
      </c>
      <c r="S5" s="33" t="n">
        <f aca="false">IF(P5=0,"",K5/P5)</f>
        <v>0.181818181818182</v>
      </c>
    </row>
    <row r="6" customFormat="false" ht="15" hidden="false" customHeight="false" outlineLevel="0" collapsed="false">
      <c r="A6" s="13" t="s">
        <v>426</v>
      </c>
      <c r="B6" s="43" t="n">
        <f aca="false">Settings!$B$10+14</f>
        <v>46314</v>
      </c>
      <c r="C6" s="43" t="n">
        <f aca="false">B6+11</f>
        <v>46325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32" t="n">
        <f aca="false">SUM(E6:I6)</f>
        <v>0</v>
      </c>
      <c r="P6" s="32" t="n">
        <f aca="false">SUM(J6:N6)</f>
        <v>0</v>
      </c>
      <c r="Q6" s="33" t="str">
        <f aca="false">IF(O6=0,"",P6/O6)</f>
        <v/>
      </c>
      <c r="R6" s="33" t="str">
        <f aca="false">IF(P6=0,"",L6/P6)</f>
        <v/>
      </c>
      <c r="S6" s="33" t="str">
        <f aca="false">IF(P6=0,"",K6/P6)</f>
        <v/>
      </c>
    </row>
    <row r="7" customFormat="false" ht="15" hidden="false" customHeight="false" outlineLevel="0" collapsed="false">
      <c r="A7" s="13" t="s">
        <v>427</v>
      </c>
      <c r="B7" s="43" t="n">
        <f aca="false">Settings!$B$10+28</f>
        <v>46328</v>
      </c>
      <c r="C7" s="43" t="n">
        <f aca="false">B7+11</f>
        <v>46339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32" t="n">
        <f aca="false">SUM(E7:I7)</f>
        <v>0</v>
      </c>
      <c r="P7" s="32" t="n">
        <f aca="false">SUM(J7:N7)</f>
        <v>0</v>
      </c>
      <c r="Q7" s="33" t="str">
        <f aca="false">IF(O7=0,"",P7/O7)</f>
        <v/>
      </c>
      <c r="R7" s="33" t="str">
        <f aca="false">IF(P7=0,"",L7/P7)</f>
        <v/>
      </c>
      <c r="S7" s="33" t="str">
        <f aca="false">IF(P7=0,"",K7/P7)</f>
        <v/>
      </c>
    </row>
    <row r="8" customFormat="false" ht="15" hidden="false" customHeight="false" outlineLevel="0" collapsed="false">
      <c r="A8" s="13" t="s">
        <v>428</v>
      </c>
      <c r="B8" s="43" t="n">
        <f aca="false">Settings!$B$10+42</f>
        <v>46342</v>
      </c>
      <c r="C8" s="43" t="n">
        <f aca="false">B8+11</f>
        <v>46353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32" t="n">
        <f aca="false">SUM(E8:I8)</f>
        <v>0</v>
      </c>
      <c r="P8" s="32" t="n">
        <f aca="false">SUM(J8:N8)</f>
        <v>0</v>
      </c>
      <c r="Q8" s="33" t="str">
        <f aca="false">IF(O8=0,"",P8/O8)</f>
        <v/>
      </c>
      <c r="R8" s="33" t="str">
        <f aca="false">IF(P8=0,"",L8/P8)</f>
        <v/>
      </c>
      <c r="S8" s="33" t="str">
        <f aca="false">IF(P8=0,"",K8/P8)</f>
        <v/>
      </c>
    </row>
    <row r="9" customFormat="false" ht="15" hidden="false" customHeight="false" outlineLevel="0" collapsed="false">
      <c r="A9" s="13" t="s">
        <v>429</v>
      </c>
      <c r="B9" s="43" t="n">
        <f aca="false">Settings!$B$10+56</f>
        <v>46356</v>
      </c>
      <c r="C9" s="43" t="n">
        <f aca="false">B9+11</f>
        <v>46367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32" t="n">
        <f aca="false">SUM(E9:I9)</f>
        <v>0</v>
      </c>
      <c r="P9" s="32" t="n">
        <f aca="false">SUM(J9:N9)</f>
        <v>0</v>
      </c>
      <c r="Q9" s="33" t="str">
        <f aca="false">IF(O9=0,"",P9/O9)</f>
        <v/>
      </c>
      <c r="R9" s="33" t="str">
        <f aca="false">IF(P9=0,"",L9/P9)</f>
        <v/>
      </c>
      <c r="S9" s="33" t="str">
        <f aca="false">IF(P9=0,"",K9/P9)</f>
        <v/>
      </c>
    </row>
    <row r="10" customFormat="false" ht="15" hidden="false" customHeight="false" outlineLevel="0" collapsed="false">
      <c r="A10" s="13" t="s">
        <v>430</v>
      </c>
      <c r="B10" s="43" t="n">
        <f aca="false">Settings!$B$10+70</f>
        <v>46370</v>
      </c>
      <c r="C10" s="43" t="n">
        <f aca="false">B10+11</f>
        <v>46381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32" t="n">
        <f aca="false">SUM(E10:I10)</f>
        <v>0</v>
      </c>
      <c r="P10" s="32" t="n">
        <f aca="false">SUM(J10:N10)</f>
        <v>0</v>
      </c>
      <c r="Q10" s="33" t="str">
        <f aca="false">IF(O10=0,"",P10/O10)</f>
        <v/>
      </c>
      <c r="R10" s="33" t="str">
        <f aca="false">IF(P10=0,"",L10/P10)</f>
        <v/>
      </c>
      <c r="S10" s="33" t="str">
        <f aca="false">IF(P10=0,"",K10/P10)</f>
        <v/>
      </c>
    </row>
    <row r="11" customFormat="false" ht="15" hidden="false" customHeight="false" outlineLevel="0" collapsed="false">
      <c r="A11" s="13" t="s">
        <v>431</v>
      </c>
      <c r="B11" s="43" t="n">
        <f aca="false">Settings!$B$10+84</f>
        <v>46384</v>
      </c>
      <c r="C11" s="43" t="n">
        <f aca="false">B11+11</f>
        <v>46395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32" t="n">
        <f aca="false">SUM(E11:I11)</f>
        <v>0</v>
      </c>
      <c r="P11" s="32" t="n">
        <f aca="false">SUM(J11:N11)</f>
        <v>0</v>
      </c>
      <c r="Q11" s="33" t="str">
        <f aca="false">IF(O11=0,"",P11/O11)</f>
        <v/>
      </c>
      <c r="R11" s="33" t="str">
        <f aca="false">IF(P11=0,"",L11/P11)</f>
        <v/>
      </c>
      <c r="S11" s="33" t="str">
        <f aca="false">IF(P11=0,"",K11/P11)</f>
        <v/>
      </c>
    </row>
    <row r="12" customFormat="false" ht="15" hidden="false" customHeight="false" outlineLevel="0" collapsed="false">
      <c r="A12" s="13" t="s">
        <v>432</v>
      </c>
      <c r="B12" s="43" t="n">
        <f aca="false">Settings!$B$10+98</f>
        <v>46398</v>
      </c>
      <c r="C12" s="43" t="n">
        <f aca="false">B12+11</f>
        <v>46409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32" t="n">
        <f aca="false">SUM(E12:I12)</f>
        <v>0</v>
      </c>
      <c r="P12" s="32" t="n">
        <f aca="false">SUM(J12:N12)</f>
        <v>0</v>
      </c>
      <c r="Q12" s="33" t="str">
        <f aca="false">IF(O12=0,"",P12/O12)</f>
        <v/>
      </c>
      <c r="R12" s="33" t="str">
        <f aca="false">IF(P12=0,"",L12/P12)</f>
        <v/>
      </c>
      <c r="S12" s="33" t="str">
        <f aca="false">IF(P12=0,"",K12/P12)</f>
        <v/>
      </c>
    </row>
    <row r="13" customFormat="false" ht="15" hidden="false" customHeight="false" outlineLevel="0" collapsed="false">
      <c r="A13" s="13" t="s">
        <v>433</v>
      </c>
      <c r="B13" s="43" t="n">
        <f aca="false">Settings!$B$10+112</f>
        <v>46412</v>
      </c>
      <c r="C13" s="43" t="n">
        <f aca="false">B13+11</f>
        <v>46423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32" t="n">
        <f aca="false">SUM(E13:I13)</f>
        <v>0</v>
      </c>
      <c r="P13" s="32" t="n">
        <f aca="false">SUM(J13:N13)</f>
        <v>0</v>
      </c>
      <c r="Q13" s="33" t="str">
        <f aca="false">IF(O13=0,"",P13/O13)</f>
        <v/>
      </c>
      <c r="R13" s="33" t="str">
        <f aca="false">IF(P13=0,"",L13/P13)</f>
        <v/>
      </c>
      <c r="S13" s="33" t="str">
        <f aca="false">IF(P13=0,"",K13/P13)</f>
        <v/>
      </c>
    </row>
    <row r="14" customFormat="false" ht="15" hidden="false" customHeight="false" outlineLevel="0" collapsed="false">
      <c r="A14" s="13" t="s">
        <v>434</v>
      </c>
      <c r="B14" s="43" t="n">
        <f aca="false">Settings!$B$10+126</f>
        <v>46426</v>
      </c>
      <c r="C14" s="43" t="n">
        <f aca="false">B14+11</f>
        <v>46437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32" t="n">
        <f aca="false">SUM(E14:I14)</f>
        <v>0</v>
      </c>
      <c r="P14" s="32" t="n">
        <f aca="false">SUM(J14:N14)</f>
        <v>0</v>
      </c>
      <c r="Q14" s="33" t="str">
        <f aca="false">IF(O14=0,"",P14/O14)</f>
        <v/>
      </c>
      <c r="R14" s="33" t="str">
        <f aca="false">IF(P14=0,"",L14/P14)</f>
        <v/>
      </c>
      <c r="S14" s="33" t="str">
        <f aca="false">IF(P14=0,"",K14/P14)</f>
        <v/>
      </c>
    </row>
    <row r="15" customFormat="false" ht="15" hidden="false" customHeight="false" outlineLevel="0" collapsed="false">
      <c r="A15" s="13" t="s">
        <v>435</v>
      </c>
      <c r="B15" s="43" t="n">
        <f aca="false">Settings!$B$10+140</f>
        <v>46440</v>
      </c>
      <c r="C15" s="43" t="n">
        <f aca="false">B15+11</f>
        <v>46451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32" t="n">
        <f aca="false">SUM(E15:I15)</f>
        <v>0</v>
      </c>
      <c r="P15" s="32" t="n">
        <f aca="false">SUM(J15:N15)</f>
        <v>0</v>
      </c>
      <c r="Q15" s="33" t="str">
        <f aca="false">IF(O15=0,"",P15/O15)</f>
        <v/>
      </c>
      <c r="R15" s="33" t="str">
        <f aca="false">IF(P15=0,"",L15/P15)</f>
        <v/>
      </c>
      <c r="S15" s="33" t="str">
        <f aca="false">IF(P15=0,"",K15/P15)</f>
        <v/>
      </c>
    </row>
    <row r="16" customFormat="false" ht="15" hidden="false" customHeight="false" outlineLevel="0" collapsed="false">
      <c r="A16" s="13" t="s">
        <v>436</v>
      </c>
      <c r="B16" s="43" t="n">
        <f aca="false">Settings!$B$10+154</f>
        <v>46454</v>
      </c>
      <c r="C16" s="43" t="n">
        <f aca="false">B16+11</f>
        <v>46465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32" t="n">
        <f aca="false">SUM(E16:I16)</f>
        <v>0</v>
      </c>
      <c r="P16" s="32" t="n">
        <f aca="false">SUM(J16:N16)</f>
        <v>0</v>
      </c>
      <c r="Q16" s="33" t="str">
        <f aca="false">IF(O16=0,"",P16/O16)</f>
        <v/>
      </c>
      <c r="R16" s="33" t="str">
        <f aca="false">IF(P16=0,"",L16/P16)</f>
        <v/>
      </c>
      <c r="S16" s="33" t="str">
        <f aca="false">IF(P16=0,"",K16/P16)</f>
        <v/>
      </c>
    </row>
    <row r="17" customFormat="false" ht="15" hidden="false" customHeight="false" outlineLevel="0" collapsed="false">
      <c r="A17" s="13" t="s">
        <v>437</v>
      </c>
      <c r="B17" s="43" t="n">
        <f aca="false">Settings!$B$10+168</f>
        <v>46468</v>
      </c>
      <c r="C17" s="43" t="n">
        <f aca="false">B17+11</f>
        <v>46479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32" t="n">
        <f aca="false">SUM(E17:I17)</f>
        <v>0</v>
      </c>
      <c r="P17" s="32" t="n">
        <f aca="false">SUM(J17:N17)</f>
        <v>0</v>
      </c>
      <c r="Q17" s="33" t="str">
        <f aca="false">IF(O17=0,"",P17/O17)</f>
        <v/>
      </c>
      <c r="R17" s="33" t="str">
        <f aca="false">IF(P17=0,"",L17/P17)</f>
        <v/>
      </c>
      <c r="S17" s="33" t="str">
        <f aca="false">IF(P17=0,"",K17/P17)</f>
        <v/>
      </c>
    </row>
    <row r="19" customFormat="false" ht="15" hidden="false" customHeight="false" outlineLevel="0" collapsed="false">
      <c r="A19" s="22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439</v>
      </c>
    </row>
    <row r="2" customFormat="false" ht="15" hidden="false" customHeight="false" outlineLevel="0" collapsed="false">
      <c r="A2" s="2" t="s">
        <v>440</v>
      </c>
    </row>
    <row r="4" customFormat="false" ht="15" hidden="false" customHeight="false" outlineLevel="0" collapsed="false">
      <c r="A4" s="11" t="s">
        <v>441</v>
      </c>
      <c r="B4" s="11" t="s">
        <v>442</v>
      </c>
      <c r="C4" s="11" t="s">
        <v>443</v>
      </c>
    </row>
    <row r="5" customFormat="false" ht="15" hidden="false" customHeight="false" outlineLevel="0" collapsed="false">
      <c r="A5" s="10" t="s">
        <v>444</v>
      </c>
      <c r="B5" s="34" t="n">
        <v>750</v>
      </c>
      <c r="C5" s="44" t="s">
        <v>445</v>
      </c>
    </row>
    <row r="6" customFormat="false" ht="15" hidden="false" customHeight="false" outlineLevel="0" collapsed="false">
      <c r="A6" s="10" t="s">
        <v>446</v>
      </c>
      <c r="B6" s="21" t="n">
        <v>60</v>
      </c>
      <c r="C6" s="44" t="s">
        <v>447</v>
      </c>
    </row>
    <row r="7" customFormat="false" ht="15" hidden="false" customHeight="false" outlineLevel="0" collapsed="false">
      <c r="A7" s="10" t="s">
        <v>448</v>
      </c>
      <c r="B7" s="19" t="n">
        <v>0.7</v>
      </c>
      <c r="C7" s="44" t="s">
        <v>449</v>
      </c>
    </row>
    <row r="8" customFormat="false" ht="15" hidden="false" customHeight="false" outlineLevel="0" collapsed="false">
      <c r="A8" s="10" t="s">
        <v>450</v>
      </c>
      <c r="B8" s="21" t="n">
        <v>10</v>
      </c>
      <c r="C8" s="44" t="s">
        <v>451</v>
      </c>
    </row>
    <row r="9" customFormat="false" ht="15" hidden="false" customHeight="false" outlineLevel="0" collapsed="false">
      <c r="A9" s="10" t="s">
        <v>452</v>
      </c>
      <c r="B9" s="21" t="n">
        <v>90</v>
      </c>
      <c r="C9" s="44" t="s">
        <v>453</v>
      </c>
    </row>
    <row r="10" customFormat="false" ht="15" hidden="false" customHeight="false" outlineLevel="0" collapsed="false">
      <c r="A10" s="10" t="s">
        <v>454</v>
      </c>
      <c r="B10" s="45" t="n">
        <v>46300</v>
      </c>
      <c r="C10" s="44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9.7" hidden="false" customHeight="false" outlineLevel="0" collapsed="false">
      <c r="A1" s="1" t="s">
        <v>456</v>
      </c>
    </row>
    <row r="2" customFormat="false" ht="15" hidden="false" customHeight="false" outlineLevel="0" collapsed="false">
      <c r="A2" s="2" t="s">
        <v>457</v>
      </c>
    </row>
    <row r="4" customFormat="false" ht="15" hidden="false" customHeight="false" outlineLevel="0" collapsed="false">
      <c r="A4" s="46" t="s">
        <v>458</v>
      </c>
      <c r="B4" s="46" t="s">
        <v>62</v>
      </c>
      <c r="C4" s="46" t="s">
        <v>459</v>
      </c>
      <c r="D4" s="46" t="s">
        <v>121</v>
      </c>
      <c r="E4" s="46" t="s">
        <v>251</v>
      </c>
      <c r="F4" s="46" t="s">
        <v>460</v>
      </c>
      <c r="G4" s="46" t="s">
        <v>461</v>
      </c>
      <c r="H4" s="46" t="s">
        <v>462</v>
      </c>
      <c r="I4" s="46" t="s">
        <v>463</v>
      </c>
      <c r="J4" s="46" t="s">
        <v>464</v>
      </c>
    </row>
    <row r="5" customFormat="false" ht="15" hidden="false" customHeight="false" outlineLevel="0" collapsed="false">
      <c r="A5" s="10" t="s">
        <v>31</v>
      </c>
      <c r="B5" s="10" t="s">
        <v>168</v>
      </c>
      <c r="C5" s="10" t="s">
        <v>142</v>
      </c>
      <c r="D5" s="10" t="s">
        <v>43</v>
      </c>
      <c r="E5" s="10" t="s">
        <v>148</v>
      </c>
      <c r="F5" s="10" t="n">
        <v>1</v>
      </c>
      <c r="G5" s="10" t="s">
        <v>134</v>
      </c>
      <c r="H5" s="10" t="s">
        <v>144</v>
      </c>
      <c r="I5" s="10" t="s">
        <v>132</v>
      </c>
      <c r="J5" s="10" t="s">
        <v>465</v>
      </c>
    </row>
    <row r="6" customFormat="false" ht="15" hidden="false" customHeight="false" outlineLevel="0" collapsed="false">
      <c r="A6" s="10" t="s">
        <v>29</v>
      </c>
      <c r="B6" s="10" t="s">
        <v>83</v>
      </c>
      <c r="C6" s="10" t="s">
        <v>466</v>
      </c>
      <c r="D6" s="10" t="s">
        <v>44</v>
      </c>
      <c r="E6" s="10" t="s">
        <v>138</v>
      </c>
      <c r="F6" s="10" t="n">
        <v>2</v>
      </c>
      <c r="G6" s="10" t="s">
        <v>145</v>
      </c>
      <c r="H6" s="10" t="s">
        <v>161</v>
      </c>
      <c r="I6" s="10" t="s">
        <v>178</v>
      </c>
      <c r="J6" s="10" t="s">
        <v>208</v>
      </c>
    </row>
    <row r="7" customFormat="false" ht="15" hidden="false" customHeight="false" outlineLevel="0" collapsed="false">
      <c r="A7" s="10" t="s">
        <v>27</v>
      </c>
      <c r="B7" s="10" t="s">
        <v>86</v>
      </c>
      <c r="C7" s="10" t="s">
        <v>169</v>
      </c>
      <c r="D7" s="10" t="s">
        <v>45</v>
      </c>
      <c r="E7" s="10" t="s">
        <v>164</v>
      </c>
      <c r="F7" s="10" t="n">
        <v>3</v>
      </c>
      <c r="H7" s="10" t="s">
        <v>133</v>
      </c>
      <c r="I7" s="10" t="s">
        <v>160</v>
      </c>
      <c r="J7" s="10" t="s">
        <v>172</v>
      </c>
    </row>
    <row r="8" customFormat="false" ht="15" hidden="false" customHeight="false" outlineLevel="0" collapsed="false">
      <c r="A8" s="10" t="s">
        <v>33</v>
      </c>
      <c r="B8" s="10" t="s">
        <v>79</v>
      </c>
      <c r="C8" s="10" t="s">
        <v>130</v>
      </c>
      <c r="D8" s="10" t="s">
        <v>46</v>
      </c>
      <c r="E8" s="10" t="s">
        <v>217</v>
      </c>
      <c r="F8" s="10" t="n">
        <v>5</v>
      </c>
      <c r="H8" s="10" t="s">
        <v>179</v>
      </c>
      <c r="I8" s="10" t="s">
        <v>171</v>
      </c>
      <c r="J8" s="10" t="s">
        <v>228</v>
      </c>
    </row>
    <row r="9" customFormat="false" ht="15" hidden="false" customHeight="false" outlineLevel="0" collapsed="false">
      <c r="A9" s="10" t="s">
        <v>35</v>
      </c>
      <c r="B9" s="10" t="s">
        <v>89</v>
      </c>
      <c r="C9" s="10" t="s">
        <v>189</v>
      </c>
      <c r="D9" s="10" t="s">
        <v>47</v>
      </c>
      <c r="E9" s="10" t="s">
        <v>261</v>
      </c>
      <c r="F9" s="10" t="n">
        <v>8</v>
      </c>
      <c r="H9" s="10" t="s">
        <v>135</v>
      </c>
      <c r="I9" s="10" t="s">
        <v>135</v>
      </c>
      <c r="J9" s="10" t="s">
        <v>135</v>
      </c>
    </row>
    <row r="10" customFormat="false" ht="15" hidden="false" customHeight="false" outlineLevel="0" collapsed="false">
      <c r="B10" s="10" t="s">
        <v>72</v>
      </c>
      <c r="C10" s="10" t="s">
        <v>467</v>
      </c>
      <c r="D10" s="10" t="s">
        <v>48</v>
      </c>
      <c r="E10" s="10" t="s">
        <v>230</v>
      </c>
      <c r="F10" s="10" t="n">
        <v>13</v>
      </c>
    </row>
    <row r="11" customFormat="false" ht="15" hidden="false" customHeight="false" outlineLevel="0" collapsed="false">
      <c r="C11" s="10" t="s">
        <v>468</v>
      </c>
      <c r="D11" s="10" t="s">
        <v>469</v>
      </c>
      <c r="F11" s="10" t="n">
        <v>20</v>
      </c>
    </row>
    <row r="12" customFormat="false" ht="15" hidden="false" customHeight="false" outlineLevel="0" collapsed="false">
      <c r="C12" s="10" t="s">
        <v>470</v>
      </c>
      <c r="D12" s="10" t="s">
        <v>471</v>
      </c>
    </row>
    <row r="13" customFormat="false" ht="15" hidden="false" customHeight="false" outlineLevel="0" collapsed="false">
      <c r="C13" s="10" t="s">
        <v>195</v>
      </c>
    </row>
    <row r="14" customFormat="false" ht="15" hidden="false" customHeight="false" outlineLevel="0" collapsed="false">
      <c r="C14" s="10" t="s">
        <v>152</v>
      </c>
    </row>
    <row r="15" customFormat="false" ht="15" hidden="false" customHeight="false" outlineLevel="0" collapsed="false">
      <c r="C15" s="10" t="s">
        <v>79</v>
      </c>
    </row>
    <row r="16" customFormat="false" ht="15" hidden="false" customHeight="false" outlineLevel="0" collapsed="false">
      <c r="C16" s="1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2026-09-27T02:11:21Z</dcterms:created>
  <dc:creator>openpyxl</dc:creator>
  <dc:description/>
  <dc:language>en-US</dc:language>
  <cp:lastModifiedBy/>
  <dcterms:modified xsi:type="dcterms:W3CDTF">2026-09-27T02:11:23Z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