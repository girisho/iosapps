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lan" sheetId="2" state="visible" r:id="rId4"/>
    <sheet name="RACI" sheetId="3" state="visible" r:id="rId5"/>
    <sheet name="Scenario Catalog" sheetId="4" state="visible" r:id="rId6"/>
    <sheet name="Workload Model" sheetId="5" state="visible" r:id="rId7"/>
    <sheet name="Scaling Model" sheetId="6" state="visible" r:id="rId8"/>
    <sheet name="KPI Library" sheetId="7" state="visible" r:id="rId9"/>
    <sheet name="Interface Inventory" sheetId="8" state="visible" r:id="rId10"/>
    <sheet name="Batch Inventory" sheetId="9" state="visible" r:id="rId11"/>
    <sheet name="Env Readiness" sheetId="10" state="visible" r:id="rId12"/>
    <sheet name="Risks and Decisions" sheetId="11" state="visible" r:id="rId13"/>
    <sheet name="Team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Program default: 1.5 x measured peak hour. Covers growth and variance. Change only with steering agreement.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From VP IT: pre-prod is sized at half of PRD. Replace with ECS configuration when received.</t>
        </r>
      </text>
    </comment>
  </commentList>
</comments>
</file>

<file path=xl/sharedStrings.xml><?xml version="1.0" encoding="utf-8"?>
<sst xmlns="http://schemas.openxmlformats.org/spreadsheetml/2006/main" count="2099" uniqueCount="1042">
  <si>
    <t xml:space="preserve">Project NorthStar  |  Performance Assurance Workbook</t>
  </si>
  <si>
    <t xml:space="preserve">Companion to the Performance Assurance Strategy deck. Draft, October 2026.</t>
  </si>
  <si>
    <t xml:space="preserve">Purpose</t>
  </si>
  <si>
    <t xml:space="preserve">One place to plan, staff, scope and track the NorthStar performance test workstream from mobilization (Oct 5, 2026) through the first month-end close after business go-live.</t>
  </si>
  <si>
    <t xml:space="preserve">Key dates</t>
  </si>
  <si>
    <t xml:space="preserve">UAT Oct 26 to Nov 20. Cutover from Nov 23. Tech go-live Dec 15, 2026. Business go-live Jan 1, 2027. Performance go / no-go gate Dec 4.</t>
  </si>
  <si>
    <t xml:space="preserve">Environment fact</t>
  </si>
  <si>
    <t xml:space="preserve">Pre-prod is sized at about 50% of PRD (per VP IT). Confirm the exact configuration with SAP ECS and enter it on the Scaling Model tab.</t>
  </si>
  <si>
    <t xml:space="preserve">Plan</t>
  </si>
  <si>
    <t xml:space="preserve">Phased plan with weekly Gantt. Edit Start, End, Status and % Complete. Bars and milestones redraw automatically.</t>
  </si>
  <si>
    <t xml:space="preserve">RACI</t>
  </si>
  <si>
    <t xml:space="preserve">R, A, C, I by role for every plan activity. The check column flags any row without exactly one A.</t>
  </si>
  <si>
    <t xml:space="preserve">Scenario Catalog</t>
  </si>
  <si>
    <t xml:space="preserve">Tier 1 (35) and example Tier 2 scenarios with risk scoring, KPIs and owners. Scores 1 to 5; Suggested Tier is calculated.</t>
  </si>
  <si>
    <t xml:space="preserve">Workload Model</t>
  </si>
  <si>
    <t xml:space="preserve">Turns daily volumes into peak-hour design load, pre-prod step targets and virtual users. Yellow cells are inputs.</t>
  </si>
  <si>
    <t xml:space="preserve">Scaling Model</t>
  </si>
  <si>
    <t xml:space="preserve">Pre-prod versus PRD configuration, the capacity ratio, and PRD projections by metric class (A, B, C).</t>
  </si>
  <si>
    <t xml:space="preserve">KPI Library</t>
  </si>
  <si>
    <t xml:space="preserve">Proposed default thresholds by metric class and where each is measured.</t>
  </si>
  <si>
    <t xml:space="preserve">Interface Inventory</t>
  </si>
  <si>
    <t xml:space="preserve">Template for the 168 BTP interfaces with risk score and suggested tier.</t>
  </si>
  <si>
    <t xml:space="preserve">Batch Inventory</t>
  </si>
  <si>
    <t xml:space="preserve">Template for Control-M, SAP, DataStage and SOA jobs on the critical path.</t>
  </si>
  <si>
    <t xml:space="preserve">Env Readiness</t>
  </si>
  <si>
    <t xml:space="preserve">Entry checklist for pre-prod before cycle 1 (target Nov 2).</t>
  </si>
  <si>
    <t xml:space="preserve">Risks and Decisions</t>
  </si>
  <si>
    <t xml:space="preserve">Risk log with scoring and the decision log for leadership.</t>
  </si>
  <si>
    <t xml:space="preserve">Team</t>
  </si>
  <si>
    <t xml:space="preserve">Roles, FTE, source and FTE-weeks.</t>
  </si>
  <si>
    <t xml:space="preserve">Cell legend</t>
  </si>
  <si>
    <t xml:space="preserve">Yellow fill with blue text = input you are expected to edit. Black text = formula or fixed content. Do not overwrite formula cells.</t>
  </si>
  <si>
    <t xml:space="preserve">Role codes</t>
  </si>
  <si>
    <t xml:space="preserve">VP = VP IT and steering  |  IPL = International performance test lead  |  PPM = PwC performance test manager  |  PET = performance engineering team  |  TDE = test data engineer  |  BAS = Basis and HANA  |  ECS = SAP ECS (RISE)  |  BTP = BTP integration team  |  ABAP = ABAP fix team  |  DSC = DataStage and Control-M  |  SME = functional SMEs  |  LEG = legacy and SaaS owners  |  SEC = security and GRC  |  CUT = cutover lead</t>
  </si>
  <si>
    <t xml:space="preserve">Assumptions</t>
  </si>
  <si>
    <t xml:space="preserve">Volumes, peak profiles and KPI thresholds are proposals until mined and signed (target Oct 14 and Oct 23). Example values are marked as examples.</t>
  </si>
  <si>
    <t xml:space="preserve">Performance Assurance Plan  |  Oct 5, 2026 to Feb 12, 2027</t>
  </si>
  <si>
    <t xml:space="preserve">Edit Start, End, Status, % Complete. Gantt bars are conditional formats driven by Start and End.</t>
  </si>
  <si>
    <t xml:space="preserve">Gantt start (Monday)</t>
  </si>
  <si>
    <t xml:space="preserve">Today</t>
  </si>
  <si>
    <t xml:space="preserve">ID</t>
  </si>
  <si>
    <t xml:space="preserve">Phase</t>
  </si>
  <si>
    <t xml:space="preserve">Activity</t>
  </si>
  <si>
    <t xml:space="preserve">R</t>
  </si>
  <si>
    <t xml:space="preserve">A</t>
  </si>
  <si>
    <t xml:space="preserve">Start</t>
  </si>
  <si>
    <t xml:space="preserve">End</t>
  </si>
  <si>
    <t xml:space="preserve">Workdays</t>
  </si>
  <si>
    <t xml:space="preserve">Type</t>
  </si>
  <si>
    <t xml:space="preserve">Status</t>
  </si>
  <si>
    <t xml:space="preserve">% Complete</t>
  </si>
  <si>
    <t xml:space="preserve">0</t>
  </si>
  <si>
    <t xml:space="preserve">Phase 0  Mobilize</t>
  </si>
  <si>
    <t xml:space="preserve">0.1</t>
  </si>
  <si>
    <t xml:space="preserve">Mobilize</t>
  </si>
  <si>
    <t xml:space="preserve">Name International performance test lead and PwC performance manager</t>
  </si>
  <si>
    <t xml:space="preserve">VP</t>
  </si>
  <si>
    <t xml:space="preserve">Task</t>
  </si>
  <si>
    <t xml:space="preserve">Not started</t>
  </si>
  <si>
    <t xml:space="preserve">0.2</t>
  </si>
  <si>
    <t xml:space="preserve">Present strategy; obtain steering approval and funding</t>
  </si>
  <si>
    <t xml:space="preserve">IPL</t>
  </si>
  <si>
    <t xml:space="preserve">0.3</t>
  </si>
  <si>
    <t xml:space="preserve">Raise PwC change request for the performance workstream</t>
  </si>
  <si>
    <t xml:space="preserve">PPM</t>
  </si>
  <si>
    <t xml:space="preserve">0.4</t>
  </si>
  <si>
    <t xml:space="preserve">Contract specialist performance engineers and test data engineer</t>
  </si>
  <si>
    <t xml:space="preserve">0.5</t>
  </si>
  <si>
    <t xml:space="preserve">ECS tickets: pre-prod and PRD config sheet, refresh plan, snapshots, upsize quote</t>
  </si>
  <si>
    <t xml:space="preserve">BAS</t>
  </si>
  <si>
    <t xml:space="preserve">0.6</t>
  </si>
  <si>
    <t xml:space="preserve">Request SAP Going-Live Check (confirm Enterprise Support entitlement)</t>
  </si>
  <si>
    <t xml:space="preserve">0.7</t>
  </si>
  <si>
    <t xml:space="preserve">Agree pre-prod slot plan with cutover lead for Nov 2 to Dec 4</t>
  </si>
  <si>
    <t xml:space="preserve">0.8</t>
  </si>
  <si>
    <t xml:space="preserve">Legacy and SaaS owners decide: scale test instance or accept stub</t>
  </si>
  <si>
    <t xml:space="preserve">LEG</t>
  </si>
  <si>
    <t xml:space="preserve">M0</t>
  </si>
  <si>
    <t xml:space="preserve">Steering approval, workstream launched</t>
  </si>
  <si>
    <t xml:space="preserve">Milestone</t>
  </si>
  <si>
    <t xml:space="preserve">1</t>
  </si>
  <si>
    <t xml:space="preserve">Phase 1  Shift-left baselines (SIT2)</t>
  </si>
  <si>
    <t xml:space="preserve">1.1</t>
  </si>
  <si>
    <t xml:space="preserve">Shift-left</t>
  </si>
  <si>
    <t xml:space="preserve">Enable telemetry in SIT2: ST03N and STAD retention, SQLM, HANA expensive statements, IS trace</t>
  </si>
  <si>
    <t xml:space="preserve">1.2</t>
  </si>
  <si>
    <t xml:space="preserve">Analyze Mock-2 runtimes: CFIN JE posting rate, load durations, job runtimes</t>
  </si>
  <si>
    <t xml:space="preserve">1.3</t>
  </si>
  <si>
    <t xml:space="preserve">Single-user baselines of Tier 1 transactions during SIT2</t>
  </si>
  <si>
    <t xml:space="preserve">PET</t>
  </si>
  <si>
    <t xml:space="preserve">1.4</t>
  </si>
  <si>
    <t xml:space="preserve">Interface latency baselines: OneSource, DRC and PAC, Pega, Ariba</t>
  </si>
  <si>
    <t xml:space="preserve">BTP</t>
  </si>
  <si>
    <t xml:space="preserve">1.5</t>
  </si>
  <si>
    <t xml:space="preserve">Expensive SQL and custom code review: VIM, CFIN and AIF, VSM, enhancements</t>
  </si>
  <si>
    <t xml:space="preserve">ABAP</t>
  </si>
  <si>
    <t xml:space="preserve">1.6</t>
  </si>
  <si>
    <t xml:space="preserve">Technical hotspot checks: number ranges, IS limits, Cloud Connector, HANA parameters</t>
  </si>
  <si>
    <t xml:space="preserve">2</t>
  </si>
  <si>
    <t xml:space="preserve">Phase 2  Design and build</t>
  </si>
  <si>
    <t xml:space="preserve">2.1</t>
  </si>
  <si>
    <t xml:space="preserve">Design and build</t>
  </si>
  <si>
    <t xml:space="preserve">Collect inventory: 168 interfaces, RICEFW, Fiori and T-code usage, Control-M export</t>
  </si>
  <si>
    <t xml:space="preserve">2.2</t>
  </si>
  <si>
    <t xml:space="preserve">AI-assisted classification and draft risk scores</t>
  </si>
  <si>
    <t xml:space="preserve">2.3</t>
  </si>
  <si>
    <t xml:space="preserve">Tier 1 sign-off workshop</t>
  </si>
  <si>
    <t xml:space="preserve">M2a</t>
  </si>
  <si>
    <t xml:space="preserve">Tier 1 scope signed</t>
  </si>
  <si>
    <t xml:space="preserve">2.4</t>
  </si>
  <si>
    <t xml:space="preserve">Mine legacy volumes and build the workload model</t>
  </si>
  <si>
    <t xml:space="preserve">TDE</t>
  </si>
  <si>
    <t xml:space="preserve">2.5</t>
  </si>
  <si>
    <t xml:space="preserve">KPI and acceptance criteria sign-off by process owners</t>
  </si>
  <si>
    <t xml:space="preserve">2.6</t>
  </si>
  <si>
    <t xml:space="preserve">NeoLoad infrastructure: controller, generators, network path to RISE, auth for perf users</t>
  </si>
  <si>
    <t xml:space="preserve">2.7</t>
  </si>
  <si>
    <t xml:space="preserve">Performance users and roles cloned from production roles; communication users</t>
  </si>
  <si>
    <t xml:space="preserve">SEC</t>
  </si>
  <si>
    <t xml:space="preserve">2.8</t>
  </si>
  <si>
    <t xml:space="preserve">Service virtualization stubs (mock iFlows) for endpoints that cannot take load</t>
  </si>
  <si>
    <t xml:space="preserve">2.9</t>
  </si>
  <si>
    <t xml:space="preserve">Synthetic data factory: JEs, VSM configurations, invoices, VIM images, warranty claims</t>
  </si>
  <si>
    <t xml:space="preserve">2.10</t>
  </si>
  <si>
    <t xml:space="preserve">Script Tier 1 UI scenarios (Fiori and SAP GUI)</t>
  </si>
  <si>
    <t xml:space="preserve">2.11</t>
  </si>
  <si>
    <t xml:space="preserve">Build non-UI injectors: iFlow payloads, JDBC JE volumes, file drops</t>
  </si>
  <si>
    <t xml:space="preserve">2.12</t>
  </si>
  <si>
    <t xml:space="preserve">Control-M batch replay schedule for the critical path</t>
  </si>
  <si>
    <t xml:space="preserve">DSC</t>
  </si>
  <si>
    <t xml:space="preserve">2.13</t>
  </si>
  <si>
    <t xml:space="preserve">Pre-prod refresh with Mock data plus config and transport parity</t>
  </si>
  <si>
    <t xml:space="preserve">2.14</t>
  </si>
  <si>
    <t xml:space="preserve">Monitoring dashboards (Cloud ALM, IS, HANA) and results template</t>
  </si>
  <si>
    <t xml:space="preserve">2.15</t>
  </si>
  <si>
    <t xml:space="preserve">Calibration run and scaling factor confirmation</t>
  </si>
  <si>
    <t xml:space="preserve">M2b</t>
  </si>
  <si>
    <t xml:space="preserve">Ready to execute: pre-prod entry criteria met</t>
  </si>
  <si>
    <t xml:space="preserve">3</t>
  </si>
  <si>
    <t xml:space="preserve">Phase 3  Execute in pre-prod</t>
  </si>
  <si>
    <t xml:space="preserve">3.1</t>
  </si>
  <si>
    <t xml:space="preserve">Execute</t>
  </si>
  <si>
    <t xml:space="preserve">Cycle 1: component and interface throughput (CFIN JE, top iFlows, VIM, OneSource, DRC)</t>
  </si>
  <si>
    <t xml:space="preserve">3.2</t>
  </si>
  <si>
    <t xml:space="preserve">Cycle 2: integrated peak hour (online plus interfaces)</t>
  </si>
  <si>
    <t xml:space="preserve">3.3</t>
  </si>
  <si>
    <t xml:space="preserve">Cycle 3: month-end close and batch critical path</t>
  </si>
  <si>
    <t xml:space="preserve">3.4</t>
  </si>
  <si>
    <t xml:space="preserve">Cycle 4: stress to break point and 8-hour soak</t>
  </si>
  <si>
    <t xml:space="preserve">3.5</t>
  </si>
  <si>
    <t xml:space="preserve">Twice-weekly defect triage and tuning</t>
  </si>
  <si>
    <t xml:space="preserve">3.6</t>
  </si>
  <si>
    <t xml:space="preserve">Results pack with PRD forecast after each cycle</t>
  </si>
  <si>
    <t xml:space="preserve">4</t>
  </si>
  <si>
    <t xml:space="preserve">Phase 4  Retest and gate</t>
  </si>
  <si>
    <t xml:space="preserve">4.1</t>
  </si>
  <si>
    <t xml:space="preserve">Retest and gate</t>
  </si>
  <si>
    <t xml:space="preserve">Retest failed Tier 1 scenarios after fixes</t>
  </si>
  <si>
    <t xml:space="preserve">4.2</t>
  </si>
  <si>
    <t xml:space="preserve">Performance test summary report and PRD forecast</t>
  </si>
  <si>
    <t xml:space="preserve">M4</t>
  </si>
  <si>
    <t xml:space="preserve">Performance go / no-go gate</t>
  </si>
  <si>
    <t xml:space="preserve">5</t>
  </si>
  <si>
    <t xml:space="preserve">Phase 5  PRD readiness and hypercare</t>
  </si>
  <si>
    <t xml:space="preserve">5.1</t>
  </si>
  <si>
    <t xml:space="preserve">PRD readiness</t>
  </si>
  <si>
    <t xml:space="preserve">PRD parity checks: HANA parameters, work processes, number ranges, IS tenant, Cloud Connector HA</t>
  </si>
  <si>
    <t xml:space="preserve">5.2</t>
  </si>
  <si>
    <t xml:space="preserve">Going-Live Check verification and ECS PRD sizing confirmation</t>
  </si>
  <si>
    <t xml:space="preserve">M5a</t>
  </si>
  <si>
    <t xml:space="preserve">Tech go-live</t>
  </si>
  <si>
    <t xml:space="preserve">CUT</t>
  </si>
  <si>
    <t xml:space="preserve">5.3</t>
  </si>
  <si>
    <t xml:space="preserve">Non-destructive PRD smoke: connectivity, read-only checks, synthetic monitors</t>
  </si>
  <si>
    <t xml:space="preserve">5.4</t>
  </si>
  <si>
    <t xml:space="preserve">Hypercare alert thresholds live, using the same KPIs</t>
  </si>
  <si>
    <t xml:space="preserve">M5b</t>
  </si>
  <si>
    <t xml:space="preserve">Hypercare</t>
  </si>
  <si>
    <t xml:space="preserve">Business go-live</t>
  </si>
  <si>
    <t xml:space="preserve">5.5</t>
  </si>
  <si>
    <t xml:space="preserve">Peak monitoring, first two business weeks</t>
  </si>
  <si>
    <t xml:space="preserve">5.6</t>
  </si>
  <si>
    <t xml:space="preserve">First month-end close: performance watch and trial balance match</t>
  </si>
  <si>
    <t xml:space="preserve">SME</t>
  </si>
  <si>
    <t xml:space="preserve">5.7</t>
  </si>
  <si>
    <t xml:space="preserve">Lessons learned and continuous performance regression proposal</t>
  </si>
  <si>
    <t xml:space="preserve">Legend: orange = task, maroon = milestone, grey = complete task, pale column = current week. Program dates: UAT Oct 26 to Nov 20; cutover from Nov 23; tech go-live Dec 15; business go-live Jan 1.</t>
  </si>
  <si>
    <t xml:space="preserve">RACI by plan activity</t>
  </si>
  <si>
    <t xml:space="preserve">R responsible, A accountable (exactly one per row), C consulted, I informed. Role codes are explained on the Read Me tab.</t>
  </si>
  <si>
    <t xml:space="preserve">VP
VP IT / steering</t>
  </si>
  <si>
    <t xml:space="preserve">IPL
INTL perf lead</t>
  </si>
  <si>
    <t xml:space="preserve">PPM
PwC perf mgr</t>
  </si>
  <si>
    <t xml:space="preserve">PET
Perf eng team</t>
  </si>
  <si>
    <t xml:space="preserve">TDE
Test data eng</t>
  </si>
  <si>
    <t xml:space="preserve">BAS
Basis / HANA</t>
  </si>
  <si>
    <t xml:space="preserve">ECS
SAP ECS</t>
  </si>
  <si>
    <t xml:space="preserve">BTP
BTP integration</t>
  </si>
  <si>
    <t xml:space="preserve">ABAP
ABAP fix team</t>
  </si>
  <si>
    <t xml:space="preserve">DSC
DataStage / Control-M</t>
  </si>
  <si>
    <t xml:space="preserve">SME
Functional SMEs</t>
  </si>
  <si>
    <t xml:space="preserve">LEG
Legacy and SaaS owners</t>
  </si>
  <si>
    <t xml:space="preserve">SEC
Security / GRC</t>
  </si>
  <si>
    <t xml:space="preserve">CUT
Cutover lead</t>
  </si>
  <si>
    <t xml:space="preserve">A check</t>
  </si>
  <si>
    <t xml:space="preserve">C</t>
  </si>
  <si>
    <t xml:space="preserve">I</t>
  </si>
  <si>
    <t xml:space="preserve">Where the accountable role also does the work, only A is shown (A implies R).</t>
  </si>
  <si>
    <t xml:space="preserve">Scenario catalog with risk scoring</t>
  </si>
  <si>
    <t xml:space="preserve">Score Volume, Criticality and Complexity 1 to 5. An override reason forces Tier 1. Thresholds are proposals until signed (Oct 23).</t>
  </si>
  <si>
    <t xml:space="preserve">Value stream</t>
  </si>
  <si>
    <t xml:space="preserve">Scenario</t>
  </si>
  <si>
    <t xml:space="preserve">Entry channel</t>
  </si>
  <si>
    <t xml:space="preserve">Systems in path</t>
  </si>
  <si>
    <t xml:space="preserve">Test type</t>
  </si>
  <si>
    <t xml:space="preserve">Volume
1-5</t>
  </si>
  <si>
    <t xml:space="preserve">Criticality
1-5</t>
  </si>
  <si>
    <t xml:space="preserve">Complexity
1-5</t>
  </si>
  <si>
    <t xml:space="preserve">Risk score</t>
  </si>
  <si>
    <t xml:space="preserve">Tier 1 override reason</t>
  </si>
  <si>
    <t xml:space="preserve">Suggested tier</t>
  </si>
  <si>
    <t xml:space="preserve">Primary KPI</t>
  </si>
  <si>
    <t xml:space="preserve">Proposed threshold</t>
  </si>
  <si>
    <t xml:space="preserve">Cycle</t>
  </si>
  <si>
    <t xml:space="preserve">Stub needed?</t>
  </si>
  <si>
    <t xml:space="preserve">Process owner</t>
  </si>
  <si>
    <t xml:space="preserve">OTC-01</t>
  </si>
  <si>
    <t xml:space="preserve">Order to cash</t>
  </si>
  <si>
    <t xml:space="preserve">VSM truck order: configure, price, tax, save</t>
  </si>
  <si>
    <t xml:space="preserve">Fiori / GUI</t>
  </si>
  <si>
    <t xml:space="preserve">S/4 VSM, AVC, pricing, OneSource</t>
  </si>
  <si>
    <t xml:space="preserve">Load</t>
  </si>
  <si>
    <t xml:space="preserve">Revenue</t>
  </si>
  <si>
    <t xml:space="preserve">Save step response, p90</t>
  </si>
  <si>
    <t xml:space="preserve">5 s or less</t>
  </si>
  <si>
    <t xml:space="preserve">C2</t>
  </si>
  <si>
    <t xml:space="preserve">Decide</t>
  </si>
  <si>
    <t xml:space="preserve">Draft</t>
  </si>
  <si>
    <t xml:space="preserve">OTC-02</t>
  </si>
  <si>
    <t xml:space="preserve">Order change and reconfiguration</t>
  </si>
  <si>
    <t xml:space="preserve">S/4 VSM, AVC, OneSource</t>
  </si>
  <si>
    <t xml:space="preserve">OTC-03</t>
  </si>
  <si>
    <t xml:space="preserve">Inbound dealer and legacy orders via API</t>
  </si>
  <si>
    <t xml:space="preserve">API / iFlow</t>
  </si>
  <si>
    <t xml:space="preserve">Legacy, BTP IS, S/4</t>
  </si>
  <si>
    <t xml:space="preserve">Throughput</t>
  </si>
  <si>
    <t xml:space="preserve">Orders per hour, error rate</t>
  </si>
  <si>
    <t xml:space="preserve">1.5x peak, under 0.5% errors</t>
  </si>
  <si>
    <t xml:space="preserve">C1</t>
  </si>
  <si>
    <t xml:space="preserve">OTC-04</t>
  </si>
  <si>
    <t xml:space="preserve">Outbound delivery and goods issue</t>
  </si>
  <si>
    <t xml:space="preserve">S/4 LE</t>
  </si>
  <si>
    <t xml:space="preserve">Step response, p90</t>
  </si>
  <si>
    <t xml:space="preserve">2 s or less</t>
  </si>
  <si>
    <t xml:space="preserve">No</t>
  </si>
  <si>
    <t xml:space="preserve">OTC-05</t>
  </si>
  <si>
    <t xml:space="preserve">Billing run with OneSource and output</t>
  </si>
  <si>
    <t xml:space="preserve">Batch</t>
  </si>
  <si>
    <t xml:space="preserve">S/4 billing, OneSource, forms</t>
  </si>
  <si>
    <t xml:space="preserve">Invoices per hour</t>
  </si>
  <si>
    <t xml:space="preserve">1.5x billing peak in window</t>
  </si>
  <si>
    <t xml:space="preserve">C3</t>
  </si>
  <si>
    <t xml:space="preserve">OTC-06</t>
  </si>
  <si>
    <t xml:space="preserve">Invoice outbound to legacy apps</t>
  </si>
  <si>
    <t xml:space="preserve">iFlow</t>
  </si>
  <si>
    <t xml:space="preserve">S/4, BTP IS, legacy</t>
  </si>
  <si>
    <t xml:space="preserve">Messages per hour, backlog</t>
  </si>
  <si>
    <t xml:space="preserve">1.5x peak, no backlog growth</t>
  </si>
  <si>
    <t xml:space="preserve">OTC-07</t>
  </si>
  <si>
    <t xml:space="preserve">DRC Mexico CFDI to PAC and status back</t>
  </si>
  <si>
    <t xml:space="preserve">Batch / iFlow</t>
  </si>
  <si>
    <t xml:space="preserve">S/4 DRC, BTP, PAC</t>
  </si>
  <si>
    <t xml:space="preserve">Regulatory</t>
  </si>
  <si>
    <t xml:space="preserve">Create to stamped, p95</t>
  </si>
  <si>
    <t xml:space="preserve">Inside SAT stamping window</t>
  </si>
  <si>
    <t xml:space="preserve">OTC-08</t>
  </si>
  <si>
    <t xml:space="preserve">Cash application and customer payments</t>
  </si>
  <si>
    <t xml:space="preserve">Batch / Fiori</t>
  </si>
  <si>
    <t xml:space="preserve">S/4 FI-AR, bank</t>
  </si>
  <si>
    <t xml:space="preserve">Batch runtime</t>
  </si>
  <si>
    <t xml:space="preserve">Fits window with 20% buffer</t>
  </si>
  <si>
    <t xml:space="preserve">FIN-01</t>
  </si>
  <si>
    <t xml:space="preserve">Central Finance</t>
  </si>
  <si>
    <t xml:space="preserve">Infor LN JE feed at month-end peak</t>
  </si>
  <si>
    <t xml:space="preserve">JDBC</t>
  </si>
  <si>
    <t xml:space="preserve">Infor LN, DataStage, S/4 CFIN, AIF</t>
  </si>
  <si>
    <t xml:space="preserve">Financial truth</t>
  </si>
  <si>
    <t xml:space="preserve">JE lines posted per hour</t>
  </si>
  <si>
    <t xml:space="preserve">1.5x month-end peak</t>
  </si>
  <si>
    <t xml:space="preserve">FIN-02</t>
  </si>
  <si>
    <t xml:space="preserve">AIF error reprocessing at volume</t>
  </si>
  <si>
    <t xml:space="preserve">S/4 AIF</t>
  </si>
  <si>
    <t xml:space="preserve">Reprocess rate</t>
  </si>
  <si>
    <t xml:space="preserve">Backlog cleared same day</t>
  </si>
  <si>
    <t xml:space="preserve">FIN-03</t>
  </si>
  <si>
    <t xml:space="preserve">Trial balance match S/4 versus legacy</t>
  </si>
  <si>
    <t xml:space="preserve">Report</t>
  </si>
  <si>
    <t xml:space="preserve">S/4, Infor LN</t>
  </si>
  <si>
    <t xml:space="preserve">Report runtime; match</t>
  </si>
  <si>
    <t xml:space="preserve">30 min or less; 100% match</t>
  </si>
  <si>
    <t xml:space="preserve">FIN-04</t>
  </si>
  <si>
    <t xml:space="preserve">Financial close</t>
  </si>
  <si>
    <t xml:space="preserve">FX revaluation, depreciation, accruals</t>
  </si>
  <si>
    <t xml:space="preserve">S/4 FI, AA</t>
  </si>
  <si>
    <t xml:space="preserve">Fits close calendar</t>
  </si>
  <si>
    <t xml:space="preserve">FIN-05</t>
  </si>
  <si>
    <t xml:space="preserve">Financial statements and analytical apps</t>
  </si>
  <si>
    <t xml:space="preserve">Fiori</t>
  </si>
  <si>
    <t xml:space="preserve">S/4 HANA, CDS</t>
  </si>
  <si>
    <t xml:space="preserve">Analytical response, p90</t>
  </si>
  <si>
    <t xml:space="preserve">10 s or less</t>
  </si>
  <si>
    <t xml:space="preserve">FIN-06</t>
  </si>
  <si>
    <t xml:space="preserve">GL extracts to legacy and reporting</t>
  </si>
  <si>
    <t xml:space="preserve">Batch / file</t>
  </si>
  <si>
    <t xml:space="preserve">S/4, DataStage</t>
  </si>
  <si>
    <t xml:space="preserve">Extract runtime</t>
  </si>
  <si>
    <t xml:space="preserve">FIN-07</t>
  </si>
  <si>
    <t xml:space="preserve">Period open and close steps</t>
  </si>
  <si>
    <t xml:space="preserve">S/4 FI</t>
  </si>
  <si>
    <t xml:space="preserve">P2P-01</t>
  </si>
  <si>
    <t xml:space="preserve">P2P and VIM</t>
  </si>
  <si>
    <t xml:space="preserve">Ariba PO replication to S/4</t>
  </si>
  <si>
    <t xml:space="preserve">Ariba, BTP / CIG, S/4</t>
  </si>
  <si>
    <t xml:space="preserve">POs per hour</t>
  </si>
  <si>
    <t xml:space="preserve">1.5x peak</t>
  </si>
  <si>
    <t xml:space="preserve">P2P-02</t>
  </si>
  <si>
    <t xml:space="preserve">Goods receipt and service entry</t>
  </si>
  <si>
    <t xml:space="preserve">S/4 MM</t>
  </si>
  <si>
    <t xml:space="preserve">P2P-03</t>
  </si>
  <si>
    <t xml:space="preserve">VIM OCR intake in bulk</t>
  </si>
  <si>
    <t xml:space="preserve">File / iFlow</t>
  </si>
  <si>
    <t xml:space="preserve">OpenText capture, S/4 VIM</t>
  </si>
  <si>
    <t xml:space="preserve">Known pain</t>
  </si>
  <si>
    <t xml:space="preserve">Invoices to DP doc per hour</t>
  </si>
  <si>
    <t xml:space="preserve">1.5x daily peak hour</t>
  </si>
  <si>
    <t xml:space="preserve">P2P-04</t>
  </si>
  <si>
    <t xml:space="preserve">VIM approval workflow, concurrent approvers</t>
  </si>
  <si>
    <t xml:space="preserve">S/4 VIM, workflow</t>
  </si>
  <si>
    <t xml:space="preserve">Inbox and approve, p90</t>
  </si>
  <si>
    <t xml:space="preserve">3 s or less</t>
  </si>
  <si>
    <t xml:space="preserve">P2P-05</t>
  </si>
  <si>
    <t xml:space="preserve">Invoice posting and 3-way match</t>
  </si>
  <si>
    <t xml:space="preserve">S/4 VIM, MM, FI, OneSource</t>
  </si>
  <si>
    <t xml:space="preserve">Invoices posted per hour</t>
  </si>
  <si>
    <t xml:space="preserve">P2P-06</t>
  </si>
  <si>
    <t xml:space="preserve">Payment run and bank file</t>
  </si>
  <si>
    <t xml:space="preserve">S/4 FI-AP, bank</t>
  </si>
  <si>
    <t xml:space="preserve">Payment run runtime</t>
  </si>
  <si>
    <t xml:space="preserve">WAR-01</t>
  </si>
  <si>
    <t xml:space="preserve">Warranty</t>
  </si>
  <si>
    <t xml:space="preserve">Pega claim inbound burst</t>
  </si>
  <si>
    <t xml:space="preserve">Pega, BTP IS, S/4</t>
  </si>
  <si>
    <t xml:space="preserve">Claims per hour, p95 latency</t>
  </si>
  <si>
    <t xml:space="preserve">1.5x burst, 1.5 s or less</t>
  </si>
  <si>
    <t xml:space="preserve">WAR-02</t>
  </si>
  <si>
    <t xml:space="preserve">Claim adjudication and credit memo batch</t>
  </si>
  <si>
    <t xml:space="preserve">S/4 warranty, FI</t>
  </si>
  <si>
    <t xml:space="preserve">WAR-03</t>
  </si>
  <si>
    <t xml:space="preserve">Claim status back to Pega</t>
  </si>
  <si>
    <t xml:space="preserve">S/4, BTP IS, Pega</t>
  </si>
  <si>
    <t xml:space="preserve">INT-01</t>
  </si>
  <si>
    <t xml:space="preserve">Integration and batch</t>
  </si>
  <si>
    <t xml:space="preserve">Top 20 iFlow mix at design peak</t>
  </si>
  <si>
    <t xml:space="preserve">BTP IS, Cloud Connector</t>
  </si>
  <si>
    <t xml:space="preserve">Shared choke point</t>
  </si>
  <si>
    <t xml:space="preserve">Throughput, JMS depth</t>
  </si>
  <si>
    <t xml:space="preserve">INT-02</t>
  </si>
  <si>
    <t xml:space="preserve">OneSource latency under concurrent load</t>
  </si>
  <si>
    <t xml:space="preserve">API</t>
  </si>
  <si>
    <t xml:space="preserve">S/4, OneSource</t>
  </si>
  <si>
    <t xml:space="preserve">Tax call, p95</t>
  </si>
  <si>
    <t xml:space="preserve">800 ms or less, no timeouts</t>
  </si>
  <si>
    <t xml:space="preserve">INT-03</t>
  </si>
  <si>
    <t xml:space="preserve">Endpoint outage and backlog drain</t>
  </si>
  <si>
    <t xml:space="preserve">BTP IS, JMS</t>
  </si>
  <si>
    <t xml:space="preserve">Resilience</t>
  </si>
  <si>
    <t xml:space="preserve">Drain time, loss</t>
  </si>
  <si>
    <t xml:space="preserve">60 min or less, zero loss</t>
  </si>
  <si>
    <t xml:space="preserve">C4</t>
  </si>
  <si>
    <t xml:space="preserve">INT-04</t>
  </si>
  <si>
    <t xml:space="preserve">Nightly Control-M critical path</t>
  </si>
  <si>
    <t xml:space="preserve">Control-M, S/4, SOA, DataStage</t>
  </si>
  <si>
    <t xml:space="preserve">Critical path runtime</t>
  </si>
  <si>
    <t xml:space="preserve">INT-05</t>
  </si>
  <si>
    <t xml:space="preserve">Month-end batch chain</t>
  </si>
  <si>
    <t xml:space="preserve">Control-M, S/4, DataStage</t>
  </si>
  <si>
    <t xml:space="preserve">Chain runtime</t>
  </si>
  <si>
    <t xml:space="preserve">INT-06</t>
  </si>
  <si>
    <t xml:space="preserve">DataStage and SOA jobs alongside online</t>
  </si>
  <si>
    <t xml:space="preserve">Mixed</t>
  </si>
  <si>
    <t xml:space="preserve">DataStage, SOA, S/4</t>
  </si>
  <si>
    <t xml:space="preserve">Online p90 during batch</t>
  </si>
  <si>
    <t xml:space="preserve">Under 10% degradation</t>
  </si>
  <si>
    <t xml:space="preserve">PLT-01</t>
  </si>
  <si>
    <t xml:space="preserve">Platform and mixed</t>
  </si>
  <si>
    <t xml:space="preserve">Morning login storm and launchpad</t>
  </si>
  <si>
    <t xml:space="preserve">Web Dispatcher, IAS, S/4</t>
  </si>
  <si>
    <t xml:space="preserve">Launchpad load, p90</t>
  </si>
  <si>
    <t xml:space="preserve">4 s or less</t>
  </si>
  <si>
    <t xml:space="preserve">PLT-02</t>
  </si>
  <si>
    <t xml:space="preserve">Integrated peak hour, all streams</t>
  </si>
  <si>
    <t xml:space="preserve">All</t>
  </si>
  <si>
    <t xml:space="preserve">All Tier 1 KPIs together</t>
  </si>
  <si>
    <t xml:space="preserve">All met at PRD-equivalent</t>
  </si>
  <si>
    <t xml:space="preserve">PLT-03</t>
  </si>
  <si>
    <t xml:space="preserve">Eight-hour soak</t>
  </si>
  <si>
    <t xml:space="preserve">Endurance</t>
  </si>
  <si>
    <t xml:space="preserve">Degradation over 8 h</t>
  </si>
  <si>
    <t xml:space="preserve">Under 10%, no memory growth</t>
  </si>
  <si>
    <t xml:space="preserve">PLT-04</t>
  </si>
  <si>
    <t xml:space="preserve">Stress to break point</t>
  </si>
  <si>
    <t xml:space="preserve">Stress</t>
  </si>
  <si>
    <t xml:space="preserve">Knee point</t>
  </si>
  <si>
    <t xml:space="preserve">At least 1.5x design peak</t>
  </si>
  <si>
    <t xml:space="preserve">PLT-05</t>
  </si>
  <si>
    <t xml:space="preserve">Top heavy reports and CDS views</t>
  </si>
  <si>
    <t xml:space="preserve">S/4 HANA</t>
  </si>
  <si>
    <t xml:space="preserve">Report response, p90</t>
  </si>
  <si>
    <t xml:space="preserve">T2-01</t>
  </si>
  <si>
    <t xml:space="preserve">Customer master replication to legacy</t>
  </si>
  <si>
    <t xml:space="preserve">Volume</t>
  </si>
  <si>
    <t xml:space="preserve">Messages per hour</t>
  </si>
  <si>
    <t xml:space="preserve">Tier 2</t>
  </si>
  <si>
    <t xml:space="preserve">T2-02</t>
  </si>
  <si>
    <t xml:space="preserve">Supplier master sync to Ariba</t>
  </si>
  <si>
    <t xml:space="preserve">S/4, BTP / CIG, Ariba</t>
  </si>
  <si>
    <t xml:space="preserve">T2-03</t>
  </si>
  <si>
    <t xml:space="preserve">Exchange rate load</t>
  </si>
  <si>
    <t xml:space="preserve">S/4</t>
  </si>
  <si>
    <t xml:space="preserve">Runtime</t>
  </si>
  <si>
    <t xml:space="preserve">Fits window</t>
  </si>
  <si>
    <t xml:space="preserve">T2-04</t>
  </si>
  <si>
    <t xml:space="preserve">Credit management check</t>
  </si>
  <si>
    <t xml:space="preserve">S/4 FIN-FSCM</t>
  </si>
  <si>
    <t xml:space="preserve">T2-05</t>
  </si>
  <si>
    <t xml:space="preserve">Error notification and alert iFlows</t>
  </si>
  <si>
    <t xml:space="preserve">BTP IS</t>
  </si>
  <si>
    <t xml:space="preserve">Tier 3</t>
  </si>
  <si>
    <t xml:space="preserve">Tier 1 count</t>
  </si>
  <si>
    <t xml:space="preserve">Tier 2 count</t>
  </si>
  <si>
    <t xml:space="preserve">Rule</t>
  </si>
  <si>
    <t xml:space="preserve">Score 48 or more, or any override reason (regulatory, financial truth, known pain, revenue, shared choke point) = Tier 1. 20 to 47 = Tier 2. Below 20 = Tier 3.</t>
  </si>
  <si>
    <t xml:space="preserve">Workload model: from daily volume to design load</t>
  </si>
  <si>
    <t xml:space="preserve">Yellow cells are inputs. Rows marked EXAMPLE carry illustrative values only; replace every input with mined volumes by Oct 14.</t>
  </si>
  <si>
    <t xml:space="preserve">Design headroom (x measured peak hour)</t>
  </si>
  <si>
    <t xml:space="preserve">Capacity ratio PRD / pre-prod (from Scaling Model)</t>
  </si>
  <si>
    <t xml:space="preserve">Volume unit</t>
  </si>
  <si>
    <t xml:space="preserve">Avg daily volume</t>
  </si>
  <si>
    <t xml:space="preserve">Peak-day multiplier</t>
  </si>
  <si>
    <t xml:space="preserve">Peak-hour share of day</t>
  </si>
  <si>
    <t xml:space="preserve">Measured peak hour</t>
  </si>
  <si>
    <t xml:space="preserve">Design load per hour</t>
  </si>
  <si>
    <t xml:space="preserve">Pre-prod step 1 per hour (class B)</t>
  </si>
  <si>
    <t xml:space="preserve">Pre-prod step 2 per hour (class C)</t>
  </si>
  <si>
    <t xml:space="preserve">Minutes per business transaction incl. think time</t>
  </si>
  <si>
    <t xml:space="preserve">Virtual users at design load</t>
  </si>
  <si>
    <t xml:space="preserve">Test hours per cycle</t>
  </si>
  <si>
    <t xml:space="preserve">Records needed (4 runs)</t>
  </si>
  <si>
    <t xml:space="preserve">Source / status</t>
  </si>
  <si>
    <t xml:space="preserve">orders</t>
  </si>
  <si>
    <t xml:space="preserve">EXAMPLE values, replace</t>
  </si>
  <si>
    <t xml:space="preserve">To mine</t>
  </si>
  <si>
    <t xml:space="preserve">JE lines</t>
  </si>
  <si>
    <t xml:space="preserve">invoices</t>
  </si>
  <si>
    <t xml:space="preserve">Measured peak hour = daily volume x peak-day multiplier x peak-hour share. Use the busiest hour of the busiest day (month-end days 1 to 3, billing cut-off).</t>
  </si>
  <si>
    <t xml:space="preserve">Design load = measured peak hour x headroom. Class B (throughput) scenarios run at design / ratio in pre-prod for a PRD-equivalent result; class C (fixed limits) run at full design load.</t>
  </si>
  <si>
    <t xml:space="preserve">Virtual users = design load per hour x minutes per transaction / 60 (Little's Law). Leave minutes blank for non-UI flows.</t>
  </si>
  <si>
    <t xml:space="preserve">Records needed covers cycle run, retest and two spares at design rate. Size the synthetic data factory from this column.</t>
  </si>
  <si>
    <t xml:space="preserve">Scaling model: reading a 50% pre-prod</t>
  </si>
  <si>
    <t xml:space="preserve">Enter the ECS configuration for both tiers. If not yet received, the assumed ratio (2.0, from VP IT: pre-prod is half of PRD) is used.</t>
  </si>
  <si>
    <t xml:space="preserve">Capacity dimension</t>
  </si>
  <si>
    <t xml:space="preserve">PRD</t>
  </si>
  <si>
    <t xml:space="preserve">Pre-prod</t>
  </si>
  <si>
    <t xml:space="preserve">Ratio PRD / pre-prod</t>
  </si>
  <si>
    <t xml:space="preserve">Notes</t>
  </si>
  <si>
    <t xml:space="preserve">Application servers (count)</t>
  </si>
  <si>
    <t xml:space="preserve">App tier</t>
  </si>
  <si>
    <t xml:space="preserve">Application tier vCPU (total)</t>
  </si>
  <si>
    <t xml:space="preserve">Dialog work processes (total)</t>
  </si>
  <si>
    <t xml:space="preserve">Background work processes (total)</t>
  </si>
  <si>
    <t xml:space="preserve">SAPS, application tier</t>
  </si>
  <si>
    <t xml:space="preserve">HANA vCPU</t>
  </si>
  <si>
    <t xml:space="preserve">DB tier</t>
  </si>
  <si>
    <t xml:space="preserve">HANA memory (GB)</t>
  </si>
  <si>
    <t xml:space="preserve">Integration Suite tenant (shared or separate?)</t>
  </si>
  <si>
    <t xml:space="preserve">Class C: same limit, do not scale</t>
  </si>
  <si>
    <t xml:space="preserve">Assumed ratio if ECS config not yet received</t>
  </si>
  <si>
    <t xml:space="preserve">Non-linearity derate for class B projections</t>
  </si>
  <si>
    <t xml:space="preserve">Capacity ratio used (bottleneck tier)</t>
  </si>
  <si>
    <t xml:space="preserve">Smallest measured ratio across app and DB tiers, because the bottleneck tier limits throughput.</t>
  </si>
  <si>
    <t xml:space="preserve">Metric class</t>
  </si>
  <si>
    <t xml:space="preserve">Scales with SAP capacity?</t>
  </si>
  <si>
    <t xml:space="preserve">Pre-prod test level</t>
  </si>
  <si>
    <t xml:space="preserve">PRD translation rule</t>
  </si>
  <si>
    <t xml:space="preserve">Examples</t>
  </si>
  <si>
    <t xml:space="preserve">A  Response time and single-thread runtime</t>
  </si>
  <si>
    <t xml:space="preserve">No (1:1)</t>
  </si>
  <si>
    <t xml:space="preserve">Real single-user and peak pacing</t>
  </si>
  <si>
    <t xml:space="preserve">PRD forecast = pre-prod result (same CPU generation, same data volume)</t>
  </si>
  <si>
    <t xml:space="preserve">VSM configure step, single batch job, one OneSource call</t>
  </si>
  <si>
    <t xml:space="preserve">B  Throughput and concurrency</t>
  </si>
  <si>
    <t xml:space="preserve">Yes, not linearly</t>
  </si>
  <si>
    <t xml:space="preserve">50% of design, then ramp to break</t>
  </si>
  <si>
    <t xml:space="preserve">PRD capacity = measured x ratio x derate</t>
  </si>
  <si>
    <t xml:space="preserve">Concurrent users, invoices per hour, JE lines per hour</t>
  </si>
  <si>
    <t xml:space="preserve">C  Fixed shared and external limits</t>
  </si>
  <si>
    <t xml:space="preserve">No (same limit)</t>
  </si>
  <si>
    <t xml:space="preserve">100% to 150% of PRD design load</t>
  </si>
  <si>
    <t xml:space="preserve">PRD limit = pre-prod limit</t>
  </si>
  <si>
    <t xml:space="preserve">BTP tenant, JMS, EOIO, Cloud Connector, number range locks, OneSource, PAC, Pega</t>
  </si>
  <si>
    <t xml:space="preserve">Metric (link to scenario ID)</t>
  </si>
  <si>
    <t xml:space="preserve">Class</t>
  </si>
  <si>
    <t xml:space="preserve">Measured in pre-prod</t>
  </si>
  <si>
    <t xml:space="preserve">PRD projection</t>
  </si>
  <si>
    <t xml:space="preserve">PRD design target</t>
  </si>
  <si>
    <t xml:space="preserve">Headroom</t>
  </si>
  <si>
    <t xml:space="preserve">Verdict</t>
  </si>
  <si>
    <t xml:space="preserve">OTC-05 Billing run, invoices per hour</t>
  </si>
  <si>
    <t xml:space="preserve">B</t>
  </si>
  <si>
    <t xml:space="preserve">FIN-01 JE lines posted per hour</t>
  </si>
  <si>
    <t xml:space="preserve">P2P-03 VIM invoices per hour</t>
  </si>
  <si>
    <t xml:space="preserve">INT-01 Top 20 iFlow mix, messages per hour</t>
  </si>
  <si>
    <t xml:space="preserve">INT-02 OneSource call p95 (ms)</t>
  </si>
  <si>
    <t xml:space="preserve">INT-04 Nightly critical path (min)</t>
  </si>
  <si>
    <t xml:space="preserve">Headroom = projection / target for throughput metrics, target / projection for time metrics. PASS at 1.2x or better, MARGINAL 1.0 to 1.2x.</t>
  </si>
  <si>
    <t xml:space="preserve">KPI library: proposed defaults</t>
  </si>
  <si>
    <t xml:space="preserve">Process owners confirm per Tier 1 scenario by Oct 23. Thresholds apply at PRD-equivalent load.</t>
  </si>
  <si>
    <t xml:space="preserve">KPI</t>
  </si>
  <si>
    <t xml:space="preserve">Measured with</t>
  </si>
  <si>
    <t xml:space="preserve">Online, simple</t>
  </si>
  <si>
    <t xml:space="preserve">Fiori or GUI dialog step response, 90th percentile</t>
  </si>
  <si>
    <t xml:space="preserve">NeoLoad, STAD</t>
  </si>
  <si>
    <t xml:space="preserve">Excludes network latency outside RISE</t>
  </si>
  <si>
    <t xml:space="preserve">Online, complex</t>
  </si>
  <si>
    <t xml:space="preserve">VSM configure, price and save; VIM approval</t>
  </si>
  <si>
    <t xml:space="preserve">NeoLoad, STAD, SAT</t>
  </si>
  <si>
    <t xml:space="preserve">Confirm with OTC and AP process owners</t>
  </si>
  <si>
    <t xml:space="preserve">Online, analytical</t>
  </si>
  <si>
    <t xml:space="preserve">Analytical Fiori apps and heavy reports, p90</t>
  </si>
  <si>
    <t xml:space="preserve">NeoLoad, ST03N</t>
  </si>
  <si>
    <t xml:space="preserve">Longer runs go to background</t>
  </si>
  <si>
    <t xml:space="preserve">Online, system</t>
  </si>
  <si>
    <t xml:space="preserve">Average dialog response time, system wide</t>
  </si>
  <si>
    <t xml:space="preserve">1,000 ms or less</t>
  </si>
  <si>
    <t xml:space="preserve">ST03N</t>
  </si>
  <si>
    <t xml:space="preserve">DB time under 40% of response</t>
  </si>
  <si>
    <t xml:space="preserve">Online, launchpad</t>
  </si>
  <si>
    <t xml:space="preserve">Fiori launchpad first load, p90</t>
  </si>
  <si>
    <t xml:space="preserve">NeoLoad</t>
  </si>
  <si>
    <t xml:space="preserve">Sensitive to role catalog size</t>
  </si>
  <si>
    <t xml:space="preserve">Error rate</t>
  </si>
  <si>
    <t xml:space="preserve">Failed transactions in load tests</t>
  </si>
  <si>
    <t xml:space="preserve">Under 0.5%</t>
  </si>
  <si>
    <t xml:space="preserve">Functional errors raised as defects</t>
  </si>
  <si>
    <t xml:space="preserve">Synchronous API</t>
  </si>
  <si>
    <t xml:space="preserve">OneSource tax call, p95</t>
  </si>
  <si>
    <t xml:space="preserve">IS monitor, STAD</t>
  </si>
  <si>
    <t xml:space="preserve">Validate against OneSource vendor SLA</t>
  </si>
  <si>
    <t xml:space="preserve">Inbound sync API via Integration Suite, p95</t>
  </si>
  <si>
    <t xml:space="preserve">1.5 s or less end to end</t>
  </si>
  <si>
    <t xml:space="preserve">IS monitor</t>
  </si>
  <si>
    <t xml:space="preserve">Async interfaces</t>
  </si>
  <si>
    <t xml:space="preserve">Sustained throughput versus design peak</t>
  </si>
  <si>
    <t xml:space="preserve">IS monitor, JMS</t>
  </si>
  <si>
    <t xml:space="preserve">Backlog drain after 1-hour endpoint outage</t>
  </si>
  <si>
    <t xml:space="preserve">Run in cycle 4</t>
  </si>
  <si>
    <t xml:space="preserve">AIF monitor, DataStage logs</t>
  </si>
  <si>
    <t xml:space="preserve">Trial balance S/4 versus legacy</t>
  </si>
  <si>
    <t xml:space="preserve">100% match; report 30 min or less</t>
  </si>
  <si>
    <t xml:space="preserve">Recon report</t>
  </si>
  <si>
    <t xml:space="preserve">Financial truth, Tier 1 override</t>
  </si>
  <si>
    <t xml:space="preserve">DRC Mexico</t>
  </si>
  <si>
    <t xml:space="preserve">eDocument create to PAC stamped, p95</t>
  </si>
  <si>
    <t xml:space="preserve">Inside SAT stamping window with margin</t>
  </si>
  <si>
    <t xml:space="preserve">eDocument Cockpit</t>
  </si>
  <si>
    <t xml:space="preserve">Confirm window with tax</t>
  </si>
  <si>
    <t xml:space="preserve">VIM</t>
  </si>
  <si>
    <t xml:space="preserve">OCR intake to DP document available</t>
  </si>
  <si>
    <t xml:space="preserve">Within agreed minutes at peak</t>
  </si>
  <si>
    <t xml:space="preserve">VIM analytics</t>
  </si>
  <si>
    <t xml:space="preserve">Known pain point</t>
  </si>
  <si>
    <t xml:space="preserve">Critical path versus batch window</t>
  </si>
  <si>
    <t xml:space="preserve">Fits with 20% buffer</t>
  </si>
  <si>
    <t xml:space="preserve">Control-M, SM37</t>
  </si>
  <si>
    <t xml:space="preserve">Per window: nightly, month-end</t>
  </si>
  <si>
    <t xml:space="preserve">Single job runtime versus Mock-2 baseline</t>
  </si>
  <si>
    <t xml:space="preserve">No more than 1.2x baseline</t>
  </si>
  <si>
    <t xml:space="preserve">SM37, Control-M</t>
  </si>
  <si>
    <t xml:space="preserve">Platform</t>
  </si>
  <si>
    <t xml:space="preserve">App server and HANA CPU, sustained</t>
  </si>
  <si>
    <t xml:space="preserve">70% or less at PRD-equivalent</t>
  </si>
  <si>
    <t xml:space="preserve">HANA Cockpit, OS monitor</t>
  </si>
  <si>
    <t xml:space="preserve">HANA memory used versus allocation limit</t>
  </si>
  <si>
    <t xml:space="preserve">80% or less, no OOM</t>
  </si>
  <si>
    <t xml:space="preserve">HANA Cockpit</t>
  </si>
  <si>
    <t xml:space="preserve">Free dialog work processes</t>
  </si>
  <si>
    <t xml:space="preserve">20% or more free</t>
  </si>
  <si>
    <t xml:space="preserve">SM66, ST03N</t>
  </si>
  <si>
    <t xml:space="preserve">Update queue and enqueue waits</t>
  </si>
  <si>
    <t xml:space="preserve">No backlog; enqueue wait near zero</t>
  </si>
  <si>
    <t xml:space="preserve">SM13, SM12</t>
  </si>
  <si>
    <t xml:space="preserve">Short dumps during test</t>
  </si>
  <si>
    <t xml:space="preserve">No new TIME_OUT or memory dumps</t>
  </si>
  <si>
    <t xml:space="preserve">ST22</t>
  </si>
  <si>
    <t xml:space="preserve">Degradation over 8 hours</t>
  </si>
  <si>
    <t xml:space="preserve">NeoLoad, HANA Cockpit</t>
  </si>
  <si>
    <t xml:space="preserve">Interface inventory (168 BTP interfaces)</t>
  </si>
  <si>
    <t xml:space="preserve">Fill one row per interface. Risk score and suggested tier are calculated. Row EX shows the expected format.</t>
  </si>
  <si>
    <t xml:space="preserve">Interface name</t>
  </si>
  <si>
    <t xml:space="preserve">Source</t>
  </si>
  <si>
    <t xml:space="preserve">Target</t>
  </si>
  <si>
    <t xml:space="preserve">Middleware</t>
  </si>
  <si>
    <t xml:space="preserve">Pattern</t>
  </si>
  <si>
    <t xml:space="preserve">QoS</t>
  </si>
  <si>
    <t xml:space="preserve">Frequency</t>
  </si>
  <si>
    <t xml:space="preserve">Avg messages per day</t>
  </si>
  <si>
    <t xml:space="preserve">Peak messages per hour</t>
  </si>
  <si>
    <t xml:space="preserve">Avg payload KB</t>
  </si>
  <si>
    <t xml:space="preserve">Max payload KB</t>
  </si>
  <si>
    <t xml:space="preserve">Volume 1-5</t>
  </si>
  <si>
    <t xml:space="preserve">Criticality 1-5</t>
  </si>
  <si>
    <t xml:space="preserve">Complexity 1-5</t>
  </si>
  <si>
    <t xml:space="preserve">Test approach</t>
  </si>
  <si>
    <t xml:space="preserve">Owner</t>
  </si>
  <si>
    <t xml:space="preserve">EX</t>
  </si>
  <si>
    <t xml:space="preserve">Billing invoice outbound to dealer system</t>
  </si>
  <si>
    <t xml:space="preserve">S/4HANA</t>
  </si>
  <si>
    <t xml:space="preserve">Legacy dealer app</t>
  </si>
  <si>
    <t xml:space="preserve">Async</t>
  </si>
  <si>
    <t xml:space="preserve">EO</t>
  </si>
  <si>
    <t xml:space="preserve">Near real time</t>
  </si>
  <si>
    <t xml:space="preserve">Tier 1 scenario OTC-06</t>
  </si>
  <si>
    <t xml:space="preserve">BTP team</t>
  </si>
  <si>
    <t xml:space="preserve">INT-001</t>
  </si>
  <si>
    <t xml:space="preserve">INT-002</t>
  </si>
  <si>
    <t xml:space="preserve">INT-003</t>
  </si>
  <si>
    <t xml:space="preserve">INT-004</t>
  </si>
  <si>
    <t xml:space="preserve">INT-005</t>
  </si>
  <si>
    <t xml:space="preserve">INT-006</t>
  </si>
  <si>
    <t xml:space="preserve">INT-007</t>
  </si>
  <si>
    <t xml:space="preserve">INT-008</t>
  </si>
  <si>
    <t xml:space="preserve">INT-009</t>
  </si>
  <si>
    <t xml:space="preserve">INT-010</t>
  </si>
  <si>
    <t xml:space="preserve">INT-011</t>
  </si>
  <si>
    <t xml:space="preserve">INT-012</t>
  </si>
  <si>
    <t xml:space="preserve">INT-013</t>
  </si>
  <si>
    <t xml:space="preserve">INT-014</t>
  </si>
  <si>
    <t xml:space="preserve">INT-015</t>
  </si>
  <si>
    <t xml:space="preserve">INT-016</t>
  </si>
  <si>
    <t xml:space="preserve">INT-017</t>
  </si>
  <si>
    <t xml:space="preserve">INT-018</t>
  </si>
  <si>
    <t xml:space="preserve">INT-019</t>
  </si>
  <si>
    <t xml:space="preserve">INT-020</t>
  </si>
  <si>
    <t xml:space="preserve">INT-021</t>
  </si>
  <si>
    <t xml:space="preserve">INT-022</t>
  </si>
  <si>
    <t xml:space="preserve">INT-023</t>
  </si>
  <si>
    <t xml:space="preserve">INT-024</t>
  </si>
  <si>
    <t xml:space="preserve">INT-025</t>
  </si>
  <si>
    <t xml:space="preserve">INT-026</t>
  </si>
  <si>
    <t xml:space="preserve">INT-027</t>
  </si>
  <si>
    <t xml:space="preserve">INT-028</t>
  </si>
  <si>
    <t xml:space="preserve">INT-029</t>
  </si>
  <si>
    <t xml:space="preserve">INT-030</t>
  </si>
  <si>
    <t xml:space="preserve">INT-031</t>
  </si>
  <si>
    <t xml:space="preserve">INT-032</t>
  </si>
  <si>
    <t xml:space="preserve">INT-033</t>
  </si>
  <si>
    <t xml:space="preserve">INT-034</t>
  </si>
  <si>
    <t xml:space="preserve">INT-035</t>
  </si>
  <si>
    <t xml:space="preserve">INT-036</t>
  </si>
  <si>
    <t xml:space="preserve">INT-037</t>
  </si>
  <si>
    <t xml:space="preserve">INT-038</t>
  </si>
  <si>
    <t xml:space="preserve">INT-039</t>
  </si>
  <si>
    <t xml:space="preserve">INT-040</t>
  </si>
  <si>
    <t xml:space="preserve">INT-041</t>
  </si>
  <si>
    <t xml:space="preserve">INT-042</t>
  </si>
  <si>
    <t xml:space="preserve">INT-043</t>
  </si>
  <si>
    <t xml:space="preserve">INT-044</t>
  </si>
  <si>
    <t xml:space="preserve">INT-045</t>
  </si>
  <si>
    <t xml:space="preserve">INT-046</t>
  </si>
  <si>
    <t xml:space="preserve">INT-047</t>
  </si>
  <si>
    <t xml:space="preserve">INT-048</t>
  </si>
  <si>
    <t xml:space="preserve">INT-049</t>
  </si>
  <si>
    <t xml:space="preserve">INT-050</t>
  </si>
  <si>
    <t xml:space="preserve">INT-051</t>
  </si>
  <si>
    <t xml:space="preserve">INT-052</t>
  </si>
  <si>
    <t xml:space="preserve">INT-053</t>
  </si>
  <si>
    <t xml:space="preserve">INT-054</t>
  </si>
  <si>
    <t xml:space="preserve">INT-055</t>
  </si>
  <si>
    <t xml:space="preserve">INT-056</t>
  </si>
  <si>
    <t xml:space="preserve">INT-057</t>
  </si>
  <si>
    <t xml:space="preserve">INT-058</t>
  </si>
  <si>
    <t xml:space="preserve">INT-059</t>
  </si>
  <si>
    <t xml:space="preserve">INT-060</t>
  </si>
  <si>
    <t xml:space="preserve">INT-061</t>
  </si>
  <si>
    <t xml:space="preserve">INT-062</t>
  </si>
  <si>
    <t xml:space="preserve">INT-063</t>
  </si>
  <si>
    <t xml:space="preserve">INT-064</t>
  </si>
  <si>
    <t xml:space="preserve">INT-065</t>
  </si>
  <si>
    <t xml:space="preserve">INT-066</t>
  </si>
  <si>
    <t xml:space="preserve">INT-067</t>
  </si>
  <si>
    <t xml:space="preserve">INT-068</t>
  </si>
  <si>
    <t xml:space="preserve">INT-069</t>
  </si>
  <si>
    <t xml:space="preserve">INT-070</t>
  </si>
  <si>
    <t xml:space="preserve">INT-071</t>
  </si>
  <si>
    <t xml:space="preserve">INT-072</t>
  </si>
  <si>
    <t xml:space="preserve">INT-073</t>
  </si>
  <si>
    <t xml:space="preserve">INT-074</t>
  </si>
  <si>
    <t xml:space="preserve">INT-075</t>
  </si>
  <si>
    <t xml:space="preserve">INT-076</t>
  </si>
  <si>
    <t xml:space="preserve">INT-077</t>
  </si>
  <si>
    <t xml:space="preserve">INT-078</t>
  </si>
  <si>
    <t xml:space="preserve">INT-079</t>
  </si>
  <si>
    <t xml:space="preserve">INT-080</t>
  </si>
  <si>
    <t xml:space="preserve">INT-081</t>
  </si>
  <si>
    <t xml:space="preserve">INT-082</t>
  </si>
  <si>
    <t xml:space="preserve">INT-083</t>
  </si>
  <si>
    <t xml:space="preserve">INT-084</t>
  </si>
  <si>
    <t xml:space="preserve">INT-085</t>
  </si>
  <si>
    <t xml:space="preserve">INT-086</t>
  </si>
  <si>
    <t xml:space="preserve">INT-087</t>
  </si>
  <si>
    <t xml:space="preserve">INT-088</t>
  </si>
  <si>
    <t xml:space="preserve">INT-089</t>
  </si>
  <si>
    <t xml:space="preserve">INT-090</t>
  </si>
  <si>
    <t xml:space="preserve">INT-091</t>
  </si>
  <si>
    <t xml:space="preserve">INT-092</t>
  </si>
  <si>
    <t xml:space="preserve">INT-093</t>
  </si>
  <si>
    <t xml:space="preserve">INT-094</t>
  </si>
  <si>
    <t xml:space="preserve">INT-095</t>
  </si>
  <si>
    <t xml:space="preserve">INT-096</t>
  </si>
  <si>
    <t xml:space="preserve">INT-097</t>
  </si>
  <si>
    <t xml:space="preserve">INT-098</t>
  </si>
  <si>
    <t xml:space="preserve">INT-099</t>
  </si>
  <si>
    <t xml:space="preserve">INT-100</t>
  </si>
  <si>
    <t xml:space="preserve">INT-101</t>
  </si>
  <si>
    <t xml:space="preserve">INT-102</t>
  </si>
  <si>
    <t xml:space="preserve">INT-103</t>
  </si>
  <si>
    <t xml:space="preserve">INT-104</t>
  </si>
  <si>
    <t xml:space="preserve">INT-105</t>
  </si>
  <si>
    <t xml:space="preserve">INT-106</t>
  </si>
  <si>
    <t xml:space="preserve">INT-107</t>
  </si>
  <si>
    <t xml:space="preserve">INT-108</t>
  </si>
  <si>
    <t xml:space="preserve">INT-109</t>
  </si>
  <si>
    <t xml:space="preserve">INT-110</t>
  </si>
  <si>
    <t xml:space="preserve">INT-111</t>
  </si>
  <si>
    <t xml:space="preserve">INT-112</t>
  </si>
  <si>
    <t xml:space="preserve">INT-113</t>
  </si>
  <si>
    <t xml:space="preserve">INT-114</t>
  </si>
  <si>
    <t xml:space="preserve">INT-115</t>
  </si>
  <si>
    <t xml:space="preserve">INT-116</t>
  </si>
  <si>
    <t xml:space="preserve">INT-117</t>
  </si>
  <si>
    <t xml:space="preserve">INT-118</t>
  </si>
  <si>
    <t xml:space="preserve">INT-119</t>
  </si>
  <si>
    <t xml:space="preserve">INT-120</t>
  </si>
  <si>
    <t xml:space="preserve">INT-121</t>
  </si>
  <si>
    <t xml:space="preserve">INT-122</t>
  </si>
  <si>
    <t xml:space="preserve">INT-123</t>
  </si>
  <si>
    <t xml:space="preserve">INT-124</t>
  </si>
  <si>
    <t xml:space="preserve">INT-125</t>
  </si>
  <si>
    <t xml:space="preserve">INT-126</t>
  </si>
  <si>
    <t xml:space="preserve">INT-127</t>
  </si>
  <si>
    <t xml:space="preserve">INT-128</t>
  </si>
  <si>
    <t xml:space="preserve">INT-129</t>
  </si>
  <si>
    <t xml:space="preserve">INT-130</t>
  </si>
  <si>
    <t xml:space="preserve">INT-131</t>
  </si>
  <si>
    <t xml:space="preserve">INT-132</t>
  </si>
  <si>
    <t xml:space="preserve">INT-133</t>
  </si>
  <si>
    <t xml:space="preserve">INT-134</t>
  </si>
  <si>
    <t xml:space="preserve">INT-135</t>
  </si>
  <si>
    <t xml:space="preserve">INT-136</t>
  </si>
  <si>
    <t xml:space="preserve">INT-137</t>
  </si>
  <si>
    <t xml:space="preserve">INT-138</t>
  </si>
  <si>
    <t xml:space="preserve">INT-139</t>
  </si>
  <si>
    <t xml:space="preserve">INT-140</t>
  </si>
  <si>
    <t xml:space="preserve">INT-141</t>
  </si>
  <si>
    <t xml:space="preserve">INT-142</t>
  </si>
  <si>
    <t xml:space="preserve">INT-143</t>
  </si>
  <si>
    <t xml:space="preserve">INT-144</t>
  </si>
  <si>
    <t xml:space="preserve">INT-145</t>
  </si>
  <si>
    <t xml:space="preserve">INT-146</t>
  </si>
  <si>
    <t xml:space="preserve">INT-147</t>
  </si>
  <si>
    <t xml:space="preserve">INT-148</t>
  </si>
  <si>
    <t xml:space="preserve">INT-149</t>
  </si>
  <si>
    <t xml:space="preserve">INT-150</t>
  </si>
  <si>
    <t xml:space="preserve">INT-151</t>
  </si>
  <si>
    <t xml:space="preserve">INT-152</t>
  </si>
  <si>
    <t xml:space="preserve">INT-153</t>
  </si>
  <si>
    <t xml:space="preserve">INT-154</t>
  </si>
  <si>
    <t xml:space="preserve">INT-155</t>
  </si>
  <si>
    <t xml:space="preserve">INT-156</t>
  </si>
  <si>
    <t xml:space="preserve">INT-157</t>
  </si>
  <si>
    <t xml:space="preserve">INT-158</t>
  </si>
  <si>
    <t xml:space="preserve">INT-159</t>
  </si>
  <si>
    <t xml:space="preserve">INT-160</t>
  </si>
  <si>
    <t xml:space="preserve">INT-161</t>
  </si>
  <si>
    <t xml:space="preserve">INT-162</t>
  </si>
  <si>
    <t xml:space="preserve">INT-163</t>
  </si>
  <si>
    <t xml:space="preserve">INT-164</t>
  </si>
  <si>
    <t xml:space="preserve">INT-165</t>
  </si>
  <si>
    <t xml:space="preserve">INT-166</t>
  </si>
  <si>
    <t xml:space="preserve">INT-167</t>
  </si>
  <si>
    <t xml:space="preserve">INT-168</t>
  </si>
  <si>
    <t xml:space="preserve">Batch inventory (Control-M, SAP, DataStage, SOA)</t>
  </si>
  <si>
    <t xml:space="preserve">Critical-path jobs first. Mock-2 runtime is the baseline. Buffer is calculated against the window.</t>
  </si>
  <si>
    <t xml:space="preserve">Job or chain</t>
  </si>
  <si>
    <t xml:space="preserve">Scheduler</t>
  </si>
  <si>
    <t xml:space="preserve">System</t>
  </si>
  <si>
    <t xml:space="preserve">Window start</t>
  </si>
  <si>
    <t xml:space="preserve">Window end</t>
  </si>
  <si>
    <t xml:space="preserve">Window minutes</t>
  </si>
  <si>
    <t xml:space="preserve">Mock-2 runtime (min)</t>
  </si>
  <si>
    <t xml:space="preserve">Pre-prod runtime (min)</t>
  </si>
  <si>
    <t xml:space="preserve">Critical path?</t>
  </si>
  <si>
    <t xml:space="preserve">Predecessors</t>
  </si>
  <si>
    <t xml:space="preserve">Buffer vs window</t>
  </si>
  <si>
    <t xml:space="preserve">JOB-001</t>
  </si>
  <si>
    <t xml:space="preserve">JOB-002</t>
  </si>
  <si>
    <t xml:space="preserve">JOB-003</t>
  </si>
  <si>
    <t xml:space="preserve">JOB-004</t>
  </si>
  <si>
    <t xml:space="preserve">JOB-005</t>
  </si>
  <si>
    <t xml:space="preserve">JOB-006</t>
  </si>
  <si>
    <t xml:space="preserve">JOB-007</t>
  </si>
  <si>
    <t xml:space="preserve">JOB-008</t>
  </si>
  <si>
    <t xml:space="preserve">JOB-009</t>
  </si>
  <si>
    <t xml:space="preserve">JOB-010</t>
  </si>
  <si>
    <t xml:space="preserve">JOB-011</t>
  </si>
  <si>
    <t xml:space="preserve">JOB-012</t>
  </si>
  <si>
    <t xml:space="preserve">JOB-013</t>
  </si>
  <si>
    <t xml:space="preserve">JOB-014</t>
  </si>
  <si>
    <t xml:space="preserve">JOB-015</t>
  </si>
  <si>
    <t xml:space="preserve">JOB-016</t>
  </si>
  <si>
    <t xml:space="preserve">JOB-017</t>
  </si>
  <si>
    <t xml:space="preserve">JOB-018</t>
  </si>
  <si>
    <t xml:space="preserve">JOB-019</t>
  </si>
  <si>
    <t xml:space="preserve">JOB-020</t>
  </si>
  <si>
    <t xml:space="preserve">JOB-021</t>
  </si>
  <si>
    <t xml:space="preserve">JOB-022</t>
  </si>
  <si>
    <t xml:space="preserve">JOB-023</t>
  </si>
  <si>
    <t xml:space="preserve">JOB-024</t>
  </si>
  <si>
    <t xml:space="preserve">JOB-025</t>
  </si>
  <si>
    <t xml:space="preserve">JOB-026</t>
  </si>
  <si>
    <t xml:space="preserve">JOB-027</t>
  </si>
  <si>
    <t xml:space="preserve">JOB-028</t>
  </si>
  <si>
    <t xml:space="preserve">JOB-029</t>
  </si>
  <si>
    <t xml:space="preserve">JOB-030</t>
  </si>
  <si>
    <t xml:space="preserve">JOB-031</t>
  </si>
  <si>
    <t xml:space="preserve">JOB-032</t>
  </si>
  <si>
    <t xml:space="preserve">JOB-033</t>
  </si>
  <si>
    <t xml:space="preserve">JOB-034</t>
  </si>
  <si>
    <t xml:space="preserve">JOB-035</t>
  </si>
  <si>
    <t xml:space="preserve">JOB-036</t>
  </si>
  <si>
    <t xml:space="preserve">JOB-037</t>
  </si>
  <si>
    <t xml:space="preserve">JOB-038</t>
  </si>
  <si>
    <t xml:space="preserve">JOB-039</t>
  </si>
  <si>
    <t xml:space="preserve">JOB-040</t>
  </si>
  <si>
    <t xml:space="preserve">JOB-041</t>
  </si>
  <si>
    <t xml:space="preserve">JOB-042</t>
  </si>
  <si>
    <t xml:space="preserve">JOB-043</t>
  </si>
  <si>
    <t xml:space="preserve">JOB-044</t>
  </si>
  <si>
    <t xml:space="preserve">JOB-045</t>
  </si>
  <si>
    <t xml:space="preserve">JOB-046</t>
  </si>
  <si>
    <t xml:space="preserve">JOB-047</t>
  </si>
  <si>
    <t xml:space="preserve">JOB-048</t>
  </si>
  <si>
    <t xml:space="preserve">JOB-049</t>
  </si>
  <si>
    <t xml:space="preserve">JOB-050</t>
  </si>
  <si>
    <t xml:space="preserve">JOB-051</t>
  </si>
  <si>
    <t xml:space="preserve">JOB-052</t>
  </si>
  <si>
    <t xml:space="preserve">JOB-053</t>
  </si>
  <si>
    <t xml:space="preserve">JOB-054</t>
  </si>
  <si>
    <t xml:space="preserve">JOB-055</t>
  </si>
  <si>
    <t xml:space="preserve">JOB-056</t>
  </si>
  <si>
    <t xml:space="preserve">JOB-057</t>
  </si>
  <si>
    <t xml:space="preserve">JOB-058</t>
  </si>
  <si>
    <t xml:space="preserve">JOB-059</t>
  </si>
  <si>
    <t xml:space="preserve">JOB-060</t>
  </si>
  <si>
    <t xml:space="preserve">JOB-061</t>
  </si>
  <si>
    <t xml:space="preserve">JOB-062</t>
  </si>
  <si>
    <t xml:space="preserve">JOB-063</t>
  </si>
  <si>
    <t xml:space="preserve">JOB-064</t>
  </si>
  <si>
    <t xml:space="preserve">JOB-065</t>
  </si>
  <si>
    <t xml:space="preserve">JOB-066</t>
  </si>
  <si>
    <t xml:space="preserve">JOB-067</t>
  </si>
  <si>
    <t xml:space="preserve">JOB-068</t>
  </si>
  <si>
    <t xml:space="preserve">JOB-069</t>
  </si>
  <si>
    <t xml:space="preserve">JOB-070</t>
  </si>
  <si>
    <t xml:space="preserve">JOB-071</t>
  </si>
  <si>
    <t xml:space="preserve">JOB-072</t>
  </si>
  <si>
    <t xml:space="preserve">JOB-073</t>
  </si>
  <si>
    <t xml:space="preserve">JOB-074</t>
  </si>
  <si>
    <t xml:space="preserve">JOB-075</t>
  </si>
  <si>
    <t xml:space="preserve">JOB-076</t>
  </si>
  <si>
    <t xml:space="preserve">JOB-077</t>
  </si>
  <si>
    <t xml:space="preserve">JOB-078</t>
  </si>
  <si>
    <t xml:space="preserve">JOB-079</t>
  </si>
  <si>
    <t xml:space="preserve">JOB-080</t>
  </si>
  <si>
    <t xml:space="preserve">Pre-prod entry checklist (target: all green by Nov 2)</t>
  </si>
  <si>
    <t xml:space="preserve">Status drives the readiness count at the bottom.</t>
  </si>
  <si>
    <t xml:space="preserve">#</t>
  </si>
  <si>
    <t xml:space="preserve">Area</t>
  </si>
  <si>
    <t xml:space="preserve">Item</t>
  </si>
  <si>
    <t xml:space="preserve">Due</t>
  </si>
  <si>
    <t xml:space="preserve">Evidence / notes</t>
  </si>
  <si>
    <t xml:space="preserve">Data</t>
  </si>
  <si>
    <t xml:space="preserve">Pre-prod refreshed with Mock-converted data</t>
  </si>
  <si>
    <t xml:space="preserve">Open</t>
  </si>
  <si>
    <t xml:space="preserve">Table sizes checked against PRD projection (ACDOCA, VBAK/VBRK, VIM, AIF)</t>
  </si>
  <si>
    <t xml:space="preserve">Synthetic data pools loaded for cycles 1 to 4 plus retest</t>
  </si>
  <si>
    <t xml:space="preserve">Config</t>
  </si>
  <si>
    <t xml:space="preserve">Transport and configuration parity with PRD confirmed</t>
  </si>
  <si>
    <t xml:space="preserve">HANA parameters match PRD</t>
  </si>
  <si>
    <t xml:space="preserve">Work process layout and operation modes match PRD</t>
  </si>
  <si>
    <t xml:space="preserve">Number range buffering matches PRD design (FI, billing, eDocument)</t>
  </si>
  <si>
    <t xml:space="preserve">ECS configuration sheet for pre-prod and PRD on file</t>
  </si>
  <si>
    <t xml:space="preserve">ECS</t>
  </si>
  <si>
    <t xml:space="preserve">Integration</t>
  </si>
  <si>
    <t xml:space="preserve">Integration Suite test tenant configured like PRD (JMS, retries, timeouts)</t>
  </si>
  <si>
    <t xml:space="preserve">Cloud Connector set up like PRD (HA where PRD is HA)</t>
  </si>
  <si>
    <t xml:space="preserve">Stubs live for endpoints that cannot take load</t>
  </si>
  <si>
    <t xml:space="preserve">Real endpoints confirmed for scenarios that use them, with agreed load windows</t>
  </si>
  <si>
    <t xml:space="preserve">DataStage JDBC path to CFIN staging working in pre-prod</t>
  </si>
  <si>
    <t xml:space="preserve">Control-M connected to pre-prod with replay schedule loaded</t>
  </si>
  <si>
    <t xml:space="preserve">Security</t>
  </si>
  <si>
    <t xml:space="preserve">Performance users created from production business roles (no SAP_ALL)</t>
  </si>
  <si>
    <t xml:space="preserve">Communication users with production-like authorizations</t>
  </si>
  <si>
    <t xml:space="preserve">Authentication approach for scripted users agreed (SSO / IAS)</t>
  </si>
  <si>
    <t xml:space="preserve">Tooling</t>
  </si>
  <si>
    <t xml:space="preserve">NeoLoad controller and generators reach RISE pre-prod</t>
  </si>
  <si>
    <t xml:space="preserve">Tier 1 scripts pass single-user validation</t>
  </si>
  <si>
    <t xml:space="preserve">Monitoring</t>
  </si>
  <si>
    <t xml:space="preserve">ST03N, STAD and SQLM retention extended</t>
  </si>
  <si>
    <t xml:space="preserve">HANA Cockpit, IS monitor and Cloud ALM dashboards ready</t>
  </si>
  <si>
    <t xml:space="preserve">Results template and PRD forecast sheet ready</t>
  </si>
  <si>
    <t xml:space="preserve">Operations</t>
  </si>
  <si>
    <t xml:space="preserve">Snapshot before cycle 1 taken; restore tested</t>
  </si>
  <si>
    <t xml:space="preserve">Pre-prod slot calendar agreed with cutover lead</t>
  </si>
  <si>
    <t xml:space="preserve">Defect workflow and priority transport lane for performance fixes</t>
  </si>
  <si>
    <t xml:space="preserve">Governance</t>
  </si>
  <si>
    <t xml:space="preserve">KPIs signed by process owners</t>
  </si>
  <si>
    <t xml:space="preserve">Calibration run complete; scaling ratio confirmed</t>
  </si>
  <si>
    <t xml:space="preserve">Done</t>
  </si>
  <si>
    <t xml:space="preserve">Risk log and decision log</t>
  </si>
  <si>
    <t xml:space="preserve">Score = likelihood x impact (1 to 5 each). 15 or more = High, 8 to 14 = Medium.</t>
  </si>
  <si>
    <t xml:space="preserve">Risk</t>
  </si>
  <si>
    <t xml:space="preserve">Likelihood</t>
  </si>
  <si>
    <t xml:space="preserve">Impact</t>
  </si>
  <si>
    <t xml:space="preserve">Score</t>
  </si>
  <si>
    <t xml:space="preserve">Rating</t>
  </si>
  <si>
    <t xml:space="preserve">Mitigation</t>
  </si>
  <si>
    <t xml:space="preserve">Review date</t>
  </si>
  <si>
    <t xml:space="preserve">R01</t>
  </si>
  <si>
    <t xml:space="preserve">Pre-prod contention with cutover rehearsal and UAT</t>
  </si>
  <si>
    <t xml:space="preserve">Reserve Nov 2 to Dec 4 now; slot nights and weekends; PRD window as contingency</t>
  </si>
  <si>
    <t xml:space="preserve">R02</t>
  </si>
  <si>
    <t xml:space="preserve">Team pulled into SIT2 and Mock-2 firefighting</t>
  </si>
  <si>
    <t xml:space="preserve">Dedicated external performance team; SMEs ring-fenced at 25%</t>
  </si>
  <si>
    <t xml:space="preserve">R03</t>
  </si>
  <si>
    <t xml:space="preserve">Volumes unknown today</t>
  </si>
  <si>
    <t xml:space="preserve">Mine legacy data in week 1; 1.5x headroom flagged as assumption</t>
  </si>
  <si>
    <t xml:space="preserve">R04</t>
  </si>
  <si>
    <t xml:space="preserve">Legacy and SaaS endpoints cannot take load</t>
  </si>
  <si>
    <t xml:space="preserve">Stub with mock iFlows; separate low-rate contract test against the real endpoint</t>
  </si>
  <si>
    <t xml:space="preserve">R05</t>
  </si>
  <si>
    <t xml:space="preserve">Fixes arrive too late to retest</t>
  </si>
  <si>
    <t xml:space="preserve">Shift-left in SIT2; twice-weekly triage; priority transport lane</t>
  </si>
  <si>
    <t xml:space="preserve">R06</t>
  </si>
  <si>
    <t xml:space="preserve">Pre-prod data not production-shaped</t>
  </si>
  <si>
    <t xml:space="preserve">Refresh from Mock load; check table sizes against PRD projection</t>
  </si>
  <si>
    <t xml:space="preserve">R07</t>
  </si>
  <si>
    <t xml:space="preserve">Scaling misread leads to false confidence</t>
  </si>
  <si>
    <t xml:space="preserve">Three-class model, ECS config sheet, calibration run, class C at full load</t>
  </si>
  <si>
    <t xml:space="preserve">R08</t>
  </si>
  <si>
    <t xml:space="preserve">SSO blocks scripted performance users</t>
  </si>
  <si>
    <t xml:space="preserve">Agree authentication approach for performance users in week 2</t>
  </si>
  <si>
    <t xml:space="preserve">R09</t>
  </si>
  <si>
    <t xml:space="preserve">Performance defect cannot be fixed by Dec 15</t>
  </si>
  <si>
    <t xml:space="preserve">Pre-agreed workarounds (scheduling, parallelization) and hypercare alerts</t>
  </si>
  <si>
    <t xml:space="preserve">R10</t>
  </si>
  <si>
    <t xml:space="preserve">OneSource or PAC vendor limits unknown</t>
  </si>
  <si>
    <t xml:space="preserve">Request vendor rate limits and SLAs in week 1; design retries and timeouts</t>
  </si>
  <si>
    <t xml:space="preserve">R11</t>
  </si>
  <si>
    <t xml:space="preserve">Number range serialization on Mexico documents</t>
  </si>
  <si>
    <t xml:space="preserve">Verify buffering design in SIT2; test billing and DRC at full design load</t>
  </si>
  <si>
    <t xml:space="preserve">Decision log</t>
  </si>
  <si>
    <t xml:space="preserve">Decision</t>
  </si>
  <si>
    <t xml:space="preserve">Options</t>
  </si>
  <si>
    <t xml:space="preserve">Recommendation</t>
  </si>
  <si>
    <t xml:space="preserve">Decider</t>
  </si>
  <si>
    <t xml:space="preserve">Needed by</t>
  </si>
  <si>
    <t xml:space="preserve">D01</t>
  </si>
  <si>
    <t xml:space="preserve">Stand up performance assurance as a funded workstream</t>
  </si>
  <si>
    <t xml:space="preserve">Fund now / absorb in existing teams / defer</t>
  </si>
  <si>
    <t xml:space="preserve">Fund now with a named International owner and PwC CR</t>
  </si>
  <si>
    <t xml:space="preserve">Pending</t>
  </si>
  <si>
    <t xml:space="preserve">D02</t>
  </si>
  <si>
    <t xml:space="preserve">Specialist performance team</t>
  </si>
  <si>
    <t xml:space="preserve">External partner / offshore / internal only</t>
  </si>
  <si>
    <t xml:space="preserve">External specialists (about 6) so SIT2 and UAT are not drained</t>
  </si>
  <si>
    <t xml:space="preserve">D03</t>
  </si>
  <si>
    <t xml:space="preserve">Pre-prod reservation Nov 2 to Dec 4</t>
  </si>
  <si>
    <t xml:space="preserve">Exclusive / time-sliced with cutover / none</t>
  </si>
  <si>
    <t xml:space="preserve">Time-sliced with agreed slots, nights and weekends</t>
  </si>
  <si>
    <t xml:space="preserve">D04</t>
  </si>
  <si>
    <t xml:space="preserve">Endpoint strategy per legacy and SaaS system</t>
  </si>
  <si>
    <t xml:space="preserve">Real instance / stub / hybrid</t>
  </si>
  <si>
    <t xml:space="preserve">Hybrid: stub for load, real endpoint for low-rate contract test</t>
  </si>
  <si>
    <t xml:space="preserve">D05</t>
  </si>
  <si>
    <t xml:space="preserve">Performance gate as input to tech go-live</t>
  </si>
  <si>
    <t xml:space="preserve">Formal gate / advisory</t>
  </si>
  <si>
    <t xml:space="preserve">Formal gate on Dec 4</t>
  </si>
  <si>
    <t xml:space="preserve">D06</t>
  </si>
  <si>
    <t xml:space="preserve">PRD window before cutover (option C)</t>
  </si>
  <si>
    <t xml:space="preserve">Use / do not use</t>
  </si>
  <si>
    <t xml:space="preserve">Hold as contingency; decide by Nov 20 based on pre-prod results</t>
  </si>
  <si>
    <t xml:space="preserve">D07</t>
  </si>
  <si>
    <t xml:space="preserve">Load tool</t>
  </si>
  <si>
    <t xml:space="preserve">Keep NeoLoad / switch</t>
  </si>
  <si>
    <t xml:space="preserve">Keep NeoLoad for this go-live; revisit after hypercare</t>
  </si>
  <si>
    <t xml:space="preserve">Team, FTE and duration</t>
  </si>
  <si>
    <t xml:space="preserve">FTE-weeks drive the change request. Name each person once confirmed.</t>
  </si>
  <si>
    <t xml:space="preserve">Role</t>
  </si>
  <si>
    <t xml:space="preserve">Code</t>
  </si>
  <si>
    <t xml:space="preserve">FTE</t>
  </si>
  <si>
    <t xml:space="preserve">Weeks</t>
  </si>
  <si>
    <t xml:space="preserve">FTE-weeks</t>
  </si>
  <si>
    <t xml:space="preserve">Named person</t>
  </si>
  <si>
    <t xml:space="preserve">International performance test lead (owner)</t>
  </si>
  <si>
    <t xml:space="preserve">International</t>
  </si>
  <si>
    <t xml:space="preserve">PwC performance test manager</t>
  </si>
  <si>
    <t xml:space="preserve">PwC</t>
  </si>
  <si>
    <t xml:space="preserve">Performance engineers (NeoLoad scripting and execution)</t>
  </si>
  <si>
    <t xml:space="preserve">Specialist partner or offshore</t>
  </si>
  <si>
    <t xml:space="preserve">Test data engineer (synthetic data factory)</t>
  </si>
  <si>
    <t xml:space="preserve">PwC or partner</t>
  </si>
  <si>
    <t xml:space="preserve">Basis and HANA performance engineer</t>
  </si>
  <si>
    <t xml:space="preserve">International or PwC, plus ECS</t>
  </si>
  <si>
    <t xml:space="preserve">ABAP performance developers (fix team)</t>
  </si>
  <si>
    <t xml:space="preserve">BTP Integration Suite engineer</t>
  </si>
  <si>
    <t xml:space="preserve">Integration team</t>
  </si>
  <si>
    <t xml:space="preserve">DataStage and Control-M engineer</t>
  </si>
  <si>
    <t xml:space="preserve">Functional SMEs: OTC/VSM, CFIN, P2P/VIM, warranty, tax (5 x 25%)</t>
  </si>
  <si>
    <t xml:space="preserve">Ring-fenced from program</t>
  </si>
  <si>
    <t xml:space="preserve">Security and GRC</t>
  </si>
  <si>
    <t xml:space="preserve">Total</t>
  </si>
  <si>
    <t xml:space="preserve">Legacy and SaaS owners (Infor LN, Pega, OneSource, Mexico PAC, OpenText, Ariba) are named contacts, not FTE. SAP ECS and SAP Enterprise Support engage through tickets and service sessions.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</si>
</sst>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mmm\ d&quot;, &quot;yyyy"/>
    <numFmt numFmtId="166" formatCode="m/d"/>
    <numFmt numFmtId="167" formatCode="mmm\ d"/>
    <numFmt numFmtId="168" formatCode="0%"/>
    <numFmt numFmtId="169" formatCode="0.0\x"/>
    <numFmt numFmtId="170" formatCode="0.00"/>
    <numFmt numFmtId="171" formatCode="#,##0"/>
    <numFmt numFmtId="172" formatCode="0.0"/>
    <numFmt numFmtId="173" formatCode="0"/>
    <numFmt numFmtId="174" formatCode="0.00\x"/>
    <numFmt numFmtId="175" formatCode="General"/>
    <numFmt numFmtId="176" formatCode="hh:m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72623"/>
      <name val="Arial"/>
      <family val="0"/>
      <charset val="1"/>
    </font>
    <font>
      <i val="true"/>
      <sz val="10"/>
      <color rgb="FF82817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72623"/>
      <name val="Arial"/>
      <family val="0"/>
      <charset val="1"/>
    </font>
    <font>
      <b val="true"/>
      <sz val="10"/>
      <color rgb="FF272623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DE3D9"/>
      </patternFill>
    </fill>
    <fill>
      <patternFill patternType="solid">
        <fgColor rgb="FF272623"/>
        <bgColor rgb="FF333300"/>
      </patternFill>
    </fill>
    <fill>
      <patternFill patternType="solid">
        <fgColor rgb="FF4E5659"/>
        <bgColor rgb="FF333399"/>
      </patternFill>
    </fill>
    <fill>
      <patternFill patternType="solid">
        <fgColor rgb="FFEAF1F4"/>
        <bgColor rgb="FFE8E9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5C1916"/>
        </patternFill>
      </fill>
    </dxf>
    <dxf>
      <fill>
        <patternFill>
          <bgColor rgb="FFA9B0B4"/>
        </patternFill>
      </fill>
    </dxf>
    <dxf>
      <fill>
        <patternFill>
          <bgColor rgb="FFFF7144"/>
        </patternFill>
      </fill>
    </dxf>
    <dxf>
      <fill>
        <patternFill>
          <bgColor rgb="FFFDE3D9"/>
        </patternFill>
      </fill>
    </dxf>
    <dxf>
      <fill>
        <patternFill>
          <bgColor rgb="FFFFD7C9"/>
        </patternFill>
      </fill>
    </dxf>
    <dxf>
      <fill>
        <patternFill>
          <bgColor rgb="FFF4B6B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5C1916"/>
        </patternFill>
      </fill>
    </dxf>
    <dxf>
      <font>
        <name val="Arial"/>
        <charset val="1"/>
        <family val="0"/>
        <b val="1"/>
        <color rgb="FF272623"/>
      </font>
      <fill>
        <patternFill>
          <bgColor rgb="FFFF7144"/>
        </patternFill>
      </fill>
    </dxf>
    <dxf>
      <font>
        <name val="Arial"/>
        <charset val="1"/>
        <family val="0"/>
        <b val="1"/>
        <color rgb="FF272623"/>
      </font>
      <fill>
        <patternFill>
          <bgColor rgb="FFE8E9EB"/>
        </patternFill>
      </fill>
    </dxf>
    <dxf>
      <font>
        <name val="Arial"/>
        <charset val="1"/>
        <family val="0"/>
        <b val="1"/>
        <color rgb="FF82817D"/>
      </font>
      <fill>
        <patternFill>
          <bgColor rgb="FFF7F7F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272623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4E5659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916"/>
      <rgbColor rgb="FF008000"/>
      <rgbColor rgb="FF000080"/>
      <rgbColor rgb="FF808000"/>
      <rgbColor rgb="FF800080"/>
      <rgbColor rgb="FF008080"/>
      <rgbColor rgb="FFA9B0B4"/>
      <rgbColor rgb="FF82817D"/>
      <rgbColor rgb="FF9999FF"/>
      <rgbColor rgb="FF993366"/>
      <rgbColor rgb="FFFFF2CC"/>
      <rgbColor rgb="FFEAF1F4"/>
      <rgbColor rgb="FF660066"/>
      <rgbColor rgb="FFFF7144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9EB"/>
      <rgbColor rgb="FFD9EAD3"/>
      <rgbColor rgb="FFFDE3D9"/>
      <rgbColor rgb="FFF7F7F7"/>
      <rgbColor rgb="FFF4B6B6"/>
      <rgbColor rgb="FFCC99FF"/>
      <rgbColor rgb="FFFFD7C9"/>
      <rgbColor rgb="FF3366FF"/>
      <rgbColor rgb="FF33CCCC"/>
      <rgbColor rgb="FF99CC00"/>
      <rgbColor rgb="FFFFCC00"/>
      <rgbColor rgb="FFFF9900"/>
      <rgbColor rgb="FFFF6600"/>
      <rgbColor rgb="FF4E56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2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2623"/>
    <pageSetUpPr fitToPage="tru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 t="s">
        <v>24</v>
      </c>
      <c r="B15" s="4" t="s">
        <v>25</v>
      </c>
    </row>
    <row r="16" customFormat="false" ht="15" hidden="false" customHeight="false" outlineLevel="0" collapsed="false">
      <c r="A16" s="3" t="s">
        <v>26</v>
      </c>
      <c r="B16" s="4" t="s">
        <v>27</v>
      </c>
    </row>
    <row r="17" customFormat="false" ht="15" hidden="false" customHeight="false" outlineLevel="0" collapsed="false">
      <c r="A17" s="3" t="s">
        <v>28</v>
      </c>
      <c r="B17" s="4" t="s">
        <v>29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5" t="s">
        <v>30</v>
      </c>
      <c r="B19" s="4" t="s">
        <v>31</v>
      </c>
    </row>
    <row r="20" customFormat="false" ht="35.05" hidden="false" customHeight="false" outlineLevel="0" collapsed="false">
      <c r="A20" s="3" t="s">
        <v>32</v>
      </c>
      <c r="B20" s="4" t="s">
        <v>33</v>
      </c>
    </row>
    <row r="21" customFormat="false" ht="15" hidden="false" customHeight="false" outlineLevel="0" collapsed="false">
      <c r="A21" s="3" t="s">
        <v>34</v>
      </c>
      <c r="B21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AD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5" min="4" style="0" width="6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30" min="12" style="0" width="5.2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3" t="s">
        <v>38</v>
      </c>
      <c r="B3" s="6" t="n">
        <v>46300</v>
      </c>
      <c r="F3" s="3" t="s">
        <v>39</v>
      </c>
      <c r="G3" s="7" t="n">
        <f aca="true">TODAY()</f>
        <v>46296</v>
      </c>
    </row>
    <row r="5" customFormat="false" ht="15" hidden="false" customHeight="false" outlineLevel="0" collapsed="false">
      <c r="A5" s="8" t="s">
        <v>40</v>
      </c>
      <c r="B5" s="8" t="s">
        <v>41</v>
      </c>
      <c r="C5" s="8" t="s">
        <v>42</v>
      </c>
      <c r="D5" s="8" t="s">
        <v>43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48</v>
      </c>
      <c r="J5" s="8" t="s">
        <v>49</v>
      </c>
      <c r="K5" s="8" t="s">
        <v>50</v>
      </c>
      <c r="L5" s="9" t="n">
        <f aca="false">$B$3+0</f>
        <v>46300</v>
      </c>
      <c r="M5" s="9" t="n">
        <f aca="false">$B$3+7</f>
        <v>46307</v>
      </c>
      <c r="N5" s="9" t="n">
        <f aca="false">$B$3+14</f>
        <v>46314</v>
      </c>
      <c r="O5" s="9" t="n">
        <f aca="false">$B$3+21</f>
        <v>46321</v>
      </c>
      <c r="P5" s="9" t="n">
        <f aca="false">$B$3+28</f>
        <v>46328</v>
      </c>
      <c r="Q5" s="9" t="n">
        <f aca="false">$B$3+35</f>
        <v>46335</v>
      </c>
      <c r="R5" s="9" t="n">
        <f aca="false">$B$3+42</f>
        <v>46342</v>
      </c>
      <c r="S5" s="9" t="n">
        <f aca="false">$B$3+49</f>
        <v>46349</v>
      </c>
      <c r="T5" s="9" t="n">
        <f aca="false">$B$3+56</f>
        <v>46356</v>
      </c>
      <c r="U5" s="9" t="n">
        <f aca="false">$B$3+63</f>
        <v>46363</v>
      </c>
      <c r="V5" s="9" t="n">
        <f aca="false">$B$3+70</f>
        <v>46370</v>
      </c>
      <c r="W5" s="9" t="n">
        <f aca="false">$B$3+77</f>
        <v>46377</v>
      </c>
      <c r="X5" s="9" t="n">
        <f aca="false">$B$3+84</f>
        <v>46384</v>
      </c>
      <c r="Y5" s="9" t="n">
        <f aca="false">$B$3+91</f>
        <v>46391</v>
      </c>
      <c r="Z5" s="9" t="n">
        <f aca="false">$B$3+98</f>
        <v>46398</v>
      </c>
      <c r="AA5" s="9" t="n">
        <f aca="false">$B$3+105</f>
        <v>46405</v>
      </c>
      <c r="AB5" s="9" t="n">
        <f aca="false">$B$3+112</f>
        <v>46412</v>
      </c>
      <c r="AC5" s="9" t="n">
        <f aca="false">$B$3+119</f>
        <v>46419</v>
      </c>
      <c r="AD5" s="9" t="n">
        <f aca="false">$B$3+126</f>
        <v>46426</v>
      </c>
    </row>
    <row r="6" customFormat="false" ht="15" hidden="false" customHeight="false" outlineLevel="0" collapsed="false">
      <c r="A6" s="10" t="s">
        <v>51</v>
      </c>
      <c r="B6" s="11" t="s">
        <v>52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customFormat="false" ht="15" hidden="false" customHeight="false" outlineLevel="0" collapsed="false">
      <c r="A7" s="13" t="s">
        <v>53</v>
      </c>
      <c r="B7" s="13" t="s">
        <v>54</v>
      </c>
      <c r="C7" s="13" t="s">
        <v>55</v>
      </c>
      <c r="D7" s="14" t="s">
        <v>56</v>
      </c>
      <c r="E7" s="14" t="s">
        <v>56</v>
      </c>
      <c r="F7" s="15" t="n">
        <v>46300</v>
      </c>
      <c r="G7" s="15" t="n">
        <v>46301</v>
      </c>
      <c r="H7" s="14" t="n">
        <f aca="false">NETWORKDAYS(F7,G7)</f>
        <v>2</v>
      </c>
      <c r="I7" s="14" t="s">
        <v>57</v>
      </c>
      <c r="J7" s="16" t="s">
        <v>58</v>
      </c>
      <c r="K7" s="17" t="n">
        <v>0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customFormat="false" ht="15" hidden="false" customHeight="false" outlineLevel="0" collapsed="false">
      <c r="A8" s="19" t="s">
        <v>59</v>
      </c>
      <c r="B8" s="19" t="s">
        <v>54</v>
      </c>
      <c r="C8" s="19" t="s">
        <v>60</v>
      </c>
      <c r="D8" s="20" t="s">
        <v>61</v>
      </c>
      <c r="E8" s="20" t="s">
        <v>56</v>
      </c>
      <c r="F8" s="15" t="n">
        <v>46301</v>
      </c>
      <c r="G8" s="15" t="n">
        <v>46304</v>
      </c>
      <c r="H8" s="20" t="n">
        <f aca="false">NETWORKDAYS(F8,G8)</f>
        <v>4</v>
      </c>
      <c r="I8" s="20" t="s">
        <v>57</v>
      </c>
      <c r="J8" s="16" t="s">
        <v>58</v>
      </c>
      <c r="K8" s="17" t="n">
        <v>0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customFormat="false" ht="15" hidden="false" customHeight="false" outlineLevel="0" collapsed="false">
      <c r="A9" s="13" t="s">
        <v>62</v>
      </c>
      <c r="B9" s="13" t="s">
        <v>54</v>
      </c>
      <c r="C9" s="13" t="s">
        <v>63</v>
      </c>
      <c r="D9" s="14" t="s">
        <v>64</v>
      </c>
      <c r="E9" s="14" t="s">
        <v>56</v>
      </c>
      <c r="F9" s="15" t="n">
        <v>46300</v>
      </c>
      <c r="G9" s="15" t="n">
        <v>46309</v>
      </c>
      <c r="H9" s="14" t="n">
        <f aca="false">NETWORKDAYS(F9,G9)</f>
        <v>8</v>
      </c>
      <c r="I9" s="14" t="s">
        <v>57</v>
      </c>
      <c r="J9" s="16" t="s">
        <v>58</v>
      </c>
      <c r="K9" s="17" t="n">
        <v>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customFormat="false" ht="15" hidden="false" customHeight="false" outlineLevel="0" collapsed="false">
      <c r="A10" s="19" t="s">
        <v>65</v>
      </c>
      <c r="B10" s="19" t="s">
        <v>54</v>
      </c>
      <c r="C10" s="19" t="s">
        <v>66</v>
      </c>
      <c r="D10" s="20" t="s">
        <v>61</v>
      </c>
      <c r="E10" s="20" t="s">
        <v>56</v>
      </c>
      <c r="F10" s="15" t="n">
        <v>46302</v>
      </c>
      <c r="G10" s="15" t="n">
        <v>46311</v>
      </c>
      <c r="H10" s="20" t="n">
        <f aca="false">NETWORKDAYS(F10,G10)</f>
        <v>8</v>
      </c>
      <c r="I10" s="20" t="s">
        <v>57</v>
      </c>
      <c r="J10" s="16" t="s">
        <v>58</v>
      </c>
      <c r="K10" s="17" t="n">
        <v>0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customFormat="false" ht="15" hidden="false" customHeight="false" outlineLevel="0" collapsed="false">
      <c r="A11" s="13" t="s">
        <v>67</v>
      </c>
      <c r="B11" s="13" t="s">
        <v>54</v>
      </c>
      <c r="C11" s="13" t="s">
        <v>68</v>
      </c>
      <c r="D11" s="14" t="s">
        <v>69</v>
      </c>
      <c r="E11" s="14" t="s">
        <v>61</v>
      </c>
      <c r="F11" s="15" t="n">
        <v>46300</v>
      </c>
      <c r="G11" s="15" t="n">
        <v>46311</v>
      </c>
      <c r="H11" s="14" t="n">
        <f aca="false">NETWORKDAYS(F11,G11)</f>
        <v>10</v>
      </c>
      <c r="I11" s="14" t="s">
        <v>57</v>
      </c>
      <c r="J11" s="16" t="s">
        <v>58</v>
      </c>
      <c r="K11" s="17" t="n">
        <v>0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customFormat="false" ht="15" hidden="false" customHeight="false" outlineLevel="0" collapsed="false">
      <c r="A12" s="19" t="s">
        <v>70</v>
      </c>
      <c r="B12" s="19" t="s">
        <v>54</v>
      </c>
      <c r="C12" s="19" t="s">
        <v>71</v>
      </c>
      <c r="D12" s="20" t="s">
        <v>69</v>
      </c>
      <c r="E12" s="20" t="s">
        <v>61</v>
      </c>
      <c r="F12" s="15" t="n">
        <v>46300</v>
      </c>
      <c r="G12" s="15" t="n">
        <v>46304</v>
      </c>
      <c r="H12" s="20" t="n">
        <f aca="false">NETWORKDAYS(F12,G12)</f>
        <v>5</v>
      </c>
      <c r="I12" s="20" t="s">
        <v>57</v>
      </c>
      <c r="J12" s="16" t="s">
        <v>58</v>
      </c>
      <c r="K12" s="17" t="n">
        <v>0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customFormat="false" ht="15" hidden="false" customHeight="false" outlineLevel="0" collapsed="false">
      <c r="A13" s="13" t="s">
        <v>72</v>
      </c>
      <c r="B13" s="13" t="s">
        <v>54</v>
      </c>
      <c r="C13" s="13" t="s">
        <v>73</v>
      </c>
      <c r="D13" s="14" t="s">
        <v>61</v>
      </c>
      <c r="E13" s="14" t="s">
        <v>56</v>
      </c>
      <c r="F13" s="15" t="n">
        <v>46302</v>
      </c>
      <c r="G13" s="15" t="n">
        <v>46304</v>
      </c>
      <c r="H13" s="14" t="n">
        <f aca="false">NETWORKDAYS(F13,G13)</f>
        <v>3</v>
      </c>
      <c r="I13" s="14" t="s">
        <v>57</v>
      </c>
      <c r="J13" s="16" t="s">
        <v>58</v>
      </c>
      <c r="K13" s="17" t="n">
        <v>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customFormat="false" ht="15" hidden="false" customHeight="false" outlineLevel="0" collapsed="false">
      <c r="A14" s="19" t="s">
        <v>74</v>
      </c>
      <c r="B14" s="19" t="s">
        <v>54</v>
      </c>
      <c r="C14" s="19" t="s">
        <v>75</v>
      </c>
      <c r="D14" s="20" t="s">
        <v>76</v>
      </c>
      <c r="E14" s="20" t="s">
        <v>61</v>
      </c>
      <c r="F14" s="15" t="n">
        <v>46302</v>
      </c>
      <c r="G14" s="15" t="n">
        <v>46311</v>
      </c>
      <c r="H14" s="20" t="n">
        <f aca="false">NETWORKDAYS(F14,G14)</f>
        <v>8</v>
      </c>
      <c r="I14" s="20" t="s">
        <v>57</v>
      </c>
      <c r="J14" s="16" t="s">
        <v>58</v>
      </c>
      <c r="K14" s="17" t="n">
        <v>0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customFormat="false" ht="15" hidden="false" customHeight="false" outlineLevel="0" collapsed="false">
      <c r="A15" s="21" t="s">
        <v>77</v>
      </c>
      <c r="B15" s="13" t="s">
        <v>54</v>
      </c>
      <c r="C15" s="21" t="s">
        <v>78</v>
      </c>
      <c r="D15" s="14" t="s">
        <v>61</v>
      </c>
      <c r="E15" s="14" t="s">
        <v>56</v>
      </c>
      <c r="F15" s="15" t="n">
        <v>46304</v>
      </c>
      <c r="G15" s="15" t="n">
        <v>46304</v>
      </c>
      <c r="H15" s="14" t="n">
        <f aca="false">NETWORKDAYS(F15,G15)</f>
        <v>1</v>
      </c>
      <c r="I15" s="14" t="s">
        <v>79</v>
      </c>
      <c r="J15" s="16" t="s">
        <v>58</v>
      </c>
      <c r="K15" s="17" t="n">
        <v>0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customFormat="false" ht="15" hidden="false" customHeight="false" outlineLevel="0" collapsed="false">
      <c r="A16" s="10" t="s">
        <v>80</v>
      </c>
      <c r="B16" s="11" t="s">
        <v>81</v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customFormat="false" ht="23.85" hidden="false" customHeight="false" outlineLevel="0" collapsed="false">
      <c r="A17" s="13" t="s">
        <v>82</v>
      </c>
      <c r="B17" s="13" t="s">
        <v>83</v>
      </c>
      <c r="C17" s="13" t="s">
        <v>84</v>
      </c>
      <c r="D17" s="14" t="s">
        <v>69</v>
      </c>
      <c r="E17" s="14" t="s">
        <v>61</v>
      </c>
      <c r="F17" s="15" t="n">
        <v>46300</v>
      </c>
      <c r="G17" s="15" t="n">
        <v>46304</v>
      </c>
      <c r="H17" s="14" t="n">
        <f aca="false">NETWORKDAYS(F17,G17)</f>
        <v>5</v>
      </c>
      <c r="I17" s="14" t="s">
        <v>57</v>
      </c>
      <c r="J17" s="16" t="s">
        <v>58</v>
      </c>
      <c r="K17" s="17" t="n">
        <v>0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customFormat="false" ht="15" hidden="false" customHeight="false" outlineLevel="0" collapsed="false">
      <c r="A18" s="19" t="s">
        <v>85</v>
      </c>
      <c r="B18" s="19" t="s">
        <v>83</v>
      </c>
      <c r="C18" s="19" t="s">
        <v>86</v>
      </c>
      <c r="D18" s="20" t="s">
        <v>69</v>
      </c>
      <c r="E18" s="20" t="s">
        <v>64</v>
      </c>
      <c r="F18" s="15" t="n">
        <v>46300</v>
      </c>
      <c r="G18" s="15" t="n">
        <v>46311</v>
      </c>
      <c r="H18" s="20" t="n">
        <f aca="false">NETWORKDAYS(F18,G18)</f>
        <v>10</v>
      </c>
      <c r="I18" s="20" t="s">
        <v>57</v>
      </c>
      <c r="J18" s="16" t="s">
        <v>58</v>
      </c>
      <c r="K18" s="17" t="n">
        <v>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customFormat="false" ht="15" hidden="false" customHeight="false" outlineLevel="0" collapsed="false">
      <c r="A19" s="13" t="s">
        <v>87</v>
      </c>
      <c r="B19" s="13" t="s">
        <v>83</v>
      </c>
      <c r="C19" s="13" t="s">
        <v>88</v>
      </c>
      <c r="D19" s="14" t="s">
        <v>89</v>
      </c>
      <c r="E19" s="14" t="s">
        <v>64</v>
      </c>
      <c r="F19" s="15" t="n">
        <v>46307</v>
      </c>
      <c r="G19" s="15" t="n">
        <v>46318</v>
      </c>
      <c r="H19" s="14" t="n">
        <f aca="false">NETWORKDAYS(F19,G19)</f>
        <v>10</v>
      </c>
      <c r="I19" s="14" t="s">
        <v>57</v>
      </c>
      <c r="J19" s="16" t="s">
        <v>58</v>
      </c>
      <c r="K19" s="17" t="n">
        <v>0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customFormat="false" ht="15" hidden="false" customHeight="false" outlineLevel="0" collapsed="false">
      <c r="A20" s="19" t="s">
        <v>90</v>
      </c>
      <c r="B20" s="19" t="s">
        <v>83</v>
      </c>
      <c r="C20" s="19" t="s">
        <v>91</v>
      </c>
      <c r="D20" s="20" t="s">
        <v>92</v>
      </c>
      <c r="E20" s="20" t="s">
        <v>64</v>
      </c>
      <c r="F20" s="15" t="n">
        <v>46307</v>
      </c>
      <c r="G20" s="15" t="n">
        <v>46318</v>
      </c>
      <c r="H20" s="20" t="n">
        <f aca="false">NETWORKDAYS(F20,G20)</f>
        <v>10</v>
      </c>
      <c r="I20" s="20" t="s">
        <v>57</v>
      </c>
      <c r="J20" s="16" t="s">
        <v>58</v>
      </c>
      <c r="K20" s="17" t="n">
        <v>0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customFormat="false" ht="15" hidden="false" customHeight="false" outlineLevel="0" collapsed="false">
      <c r="A21" s="13" t="s">
        <v>93</v>
      </c>
      <c r="B21" s="13" t="s">
        <v>83</v>
      </c>
      <c r="C21" s="13" t="s">
        <v>94</v>
      </c>
      <c r="D21" s="14" t="s">
        <v>95</v>
      </c>
      <c r="E21" s="14" t="s">
        <v>64</v>
      </c>
      <c r="F21" s="15" t="n">
        <v>46307</v>
      </c>
      <c r="G21" s="15" t="n">
        <v>46325</v>
      </c>
      <c r="H21" s="14" t="n">
        <f aca="false">NETWORKDAYS(F21,G21)</f>
        <v>15</v>
      </c>
      <c r="I21" s="14" t="s">
        <v>57</v>
      </c>
      <c r="J21" s="16" t="s">
        <v>58</v>
      </c>
      <c r="K21" s="17" t="n">
        <v>0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customFormat="false" ht="15" hidden="false" customHeight="false" outlineLevel="0" collapsed="false">
      <c r="A22" s="19" t="s">
        <v>96</v>
      </c>
      <c r="B22" s="19" t="s">
        <v>83</v>
      </c>
      <c r="C22" s="19" t="s">
        <v>97</v>
      </c>
      <c r="D22" s="20" t="s">
        <v>69</v>
      </c>
      <c r="E22" s="20" t="s">
        <v>61</v>
      </c>
      <c r="F22" s="15" t="n">
        <v>46307</v>
      </c>
      <c r="G22" s="15" t="n">
        <v>46318</v>
      </c>
      <c r="H22" s="20" t="n">
        <f aca="false">NETWORKDAYS(F22,G22)</f>
        <v>10</v>
      </c>
      <c r="I22" s="20" t="s">
        <v>57</v>
      </c>
      <c r="J22" s="16" t="s">
        <v>58</v>
      </c>
      <c r="K22" s="17" t="n">
        <v>0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customFormat="false" ht="15" hidden="false" customHeight="false" outlineLevel="0" collapsed="false">
      <c r="A23" s="10" t="s">
        <v>98</v>
      </c>
      <c r="B23" s="11" t="s">
        <v>99</v>
      </c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customFormat="false" ht="15" hidden="false" customHeight="false" outlineLevel="0" collapsed="false">
      <c r="A24" s="19" t="s">
        <v>100</v>
      </c>
      <c r="B24" s="19" t="s">
        <v>101</v>
      </c>
      <c r="C24" s="19" t="s">
        <v>102</v>
      </c>
      <c r="D24" s="20" t="s">
        <v>64</v>
      </c>
      <c r="E24" s="20" t="s">
        <v>61</v>
      </c>
      <c r="F24" s="15" t="n">
        <v>46300</v>
      </c>
      <c r="G24" s="15" t="n">
        <v>46304</v>
      </c>
      <c r="H24" s="20" t="n">
        <f aca="false">NETWORKDAYS(F24,G24)</f>
        <v>5</v>
      </c>
      <c r="I24" s="20" t="s">
        <v>57</v>
      </c>
      <c r="J24" s="16" t="s">
        <v>58</v>
      </c>
      <c r="K24" s="17" t="n">
        <v>0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customFormat="false" ht="15" hidden="false" customHeight="false" outlineLevel="0" collapsed="false">
      <c r="A25" s="13" t="s">
        <v>103</v>
      </c>
      <c r="B25" s="13" t="s">
        <v>101</v>
      </c>
      <c r="C25" s="13" t="s">
        <v>104</v>
      </c>
      <c r="D25" s="14" t="s">
        <v>89</v>
      </c>
      <c r="E25" s="14" t="s">
        <v>61</v>
      </c>
      <c r="F25" s="15" t="n">
        <v>46302</v>
      </c>
      <c r="G25" s="15" t="n">
        <v>46309</v>
      </c>
      <c r="H25" s="14" t="n">
        <f aca="false">NETWORKDAYS(F25,G25)</f>
        <v>6</v>
      </c>
      <c r="I25" s="14" t="s">
        <v>57</v>
      </c>
      <c r="J25" s="16" t="s">
        <v>58</v>
      </c>
      <c r="K25" s="17" t="n">
        <v>0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 customFormat="false" ht="15" hidden="false" customHeight="false" outlineLevel="0" collapsed="false">
      <c r="A26" s="19" t="s">
        <v>105</v>
      </c>
      <c r="B26" s="19" t="s">
        <v>101</v>
      </c>
      <c r="C26" s="19" t="s">
        <v>106</v>
      </c>
      <c r="D26" s="20" t="s">
        <v>61</v>
      </c>
      <c r="E26" s="20" t="s">
        <v>61</v>
      </c>
      <c r="F26" s="15" t="n">
        <v>46310</v>
      </c>
      <c r="G26" s="15" t="n">
        <v>46311</v>
      </c>
      <c r="H26" s="20" t="n">
        <f aca="false">NETWORKDAYS(F26,G26)</f>
        <v>2</v>
      </c>
      <c r="I26" s="20" t="s">
        <v>57</v>
      </c>
      <c r="J26" s="16" t="s">
        <v>58</v>
      </c>
      <c r="K26" s="17" t="n">
        <v>0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customFormat="false" ht="15" hidden="false" customHeight="false" outlineLevel="0" collapsed="false">
      <c r="A27" s="21" t="s">
        <v>107</v>
      </c>
      <c r="B27" s="13" t="s">
        <v>101</v>
      </c>
      <c r="C27" s="21" t="s">
        <v>108</v>
      </c>
      <c r="D27" s="14" t="s">
        <v>61</v>
      </c>
      <c r="E27" s="14" t="s">
        <v>61</v>
      </c>
      <c r="F27" s="15" t="n">
        <v>46311</v>
      </c>
      <c r="G27" s="15" t="n">
        <v>46311</v>
      </c>
      <c r="H27" s="14" t="n">
        <f aca="false">NETWORKDAYS(F27,G27)</f>
        <v>1</v>
      </c>
      <c r="I27" s="14" t="s">
        <v>79</v>
      </c>
      <c r="J27" s="16" t="s">
        <v>58</v>
      </c>
      <c r="K27" s="17" t="n">
        <v>0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customFormat="false" ht="15" hidden="false" customHeight="false" outlineLevel="0" collapsed="false">
      <c r="A28" s="19" t="s">
        <v>109</v>
      </c>
      <c r="B28" s="19" t="s">
        <v>101</v>
      </c>
      <c r="C28" s="19" t="s">
        <v>110</v>
      </c>
      <c r="D28" s="20" t="s">
        <v>111</v>
      </c>
      <c r="E28" s="20" t="s">
        <v>64</v>
      </c>
      <c r="F28" s="15" t="n">
        <v>46302</v>
      </c>
      <c r="G28" s="15" t="n">
        <v>46316</v>
      </c>
      <c r="H28" s="20" t="n">
        <f aca="false">NETWORKDAYS(F28,G28)</f>
        <v>11</v>
      </c>
      <c r="I28" s="20" t="s">
        <v>57</v>
      </c>
      <c r="J28" s="16" t="s">
        <v>58</v>
      </c>
      <c r="K28" s="17" t="n">
        <v>0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customFormat="false" ht="15" hidden="false" customHeight="false" outlineLevel="0" collapsed="false">
      <c r="A29" s="13" t="s">
        <v>112</v>
      </c>
      <c r="B29" s="13" t="s">
        <v>101</v>
      </c>
      <c r="C29" s="13" t="s">
        <v>113</v>
      </c>
      <c r="D29" s="14" t="s">
        <v>64</v>
      </c>
      <c r="E29" s="14" t="s">
        <v>61</v>
      </c>
      <c r="F29" s="15" t="n">
        <v>46314</v>
      </c>
      <c r="G29" s="15" t="n">
        <v>46318</v>
      </c>
      <c r="H29" s="14" t="n">
        <f aca="false">NETWORKDAYS(F29,G29)</f>
        <v>5</v>
      </c>
      <c r="I29" s="14" t="s">
        <v>57</v>
      </c>
      <c r="J29" s="16" t="s">
        <v>58</v>
      </c>
      <c r="K29" s="17" t="n">
        <v>0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customFormat="false" ht="15" hidden="false" customHeight="false" outlineLevel="0" collapsed="false">
      <c r="A30" s="19" t="s">
        <v>114</v>
      </c>
      <c r="B30" s="19" t="s">
        <v>101</v>
      </c>
      <c r="C30" s="19" t="s">
        <v>115</v>
      </c>
      <c r="D30" s="20" t="s">
        <v>89</v>
      </c>
      <c r="E30" s="20" t="s">
        <v>64</v>
      </c>
      <c r="F30" s="15" t="n">
        <v>46307</v>
      </c>
      <c r="G30" s="15" t="n">
        <v>46318</v>
      </c>
      <c r="H30" s="20" t="n">
        <f aca="false">NETWORKDAYS(F30,G30)</f>
        <v>10</v>
      </c>
      <c r="I30" s="20" t="s">
        <v>57</v>
      </c>
      <c r="J30" s="16" t="s">
        <v>58</v>
      </c>
      <c r="K30" s="17" t="n">
        <v>0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customFormat="false" ht="15" hidden="false" customHeight="false" outlineLevel="0" collapsed="false">
      <c r="A31" s="13" t="s">
        <v>116</v>
      </c>
      <c r="B31" s="13" t="s">
        <v>101</v>
      </c>
      <c r="C31" s="13" t="s">
        <v>117</v>
      </c>
      <c r="D31" s="14" t="s">
        <v>118</v>
      </c>
      <c r="E31" s="14" t="s">
        <v>61</v>
      </c>
      <c r="F31" s="15" t="n">
        <v>46314</v>
      </c>
      <c r="G31" s="15" t="n">
        <v>46325</v>
      </c>
      <c r="H31" s="14" t="n">
        <f aca="false">NETWORKDAYS(F31,G31)</f>
        <v>10</v>
      </c>
      <c r="I31" s="14" t="s">
        <v>57</v>
      </c>
      <c r="J31" s="16" t="s">
        <v>58</v>
      </c>
      <c r="K31" s="17" t="n">
        <v>0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customFormat="false" ht="15" hidden="false" customHeight="false" outlineLevel="0" collapsed="false">
      <c r="A32" s="19" t="s">
        <v>119</v>
      </c>
      <c r="B32" s="19" t="s">
        <v>101</v>
      </c>
      <c r="C32" s="19" t="s">
        <v>120</v>
      </c>
      <c r="D32" s="20" t="s">
        <v>92</v>
      </c>
      <c r="E32" s="20" t="s">
        <v>64</v>
      </c>
      <c r="F32" s="15" t="n">
        <v>46314</v>
      </c>
      <c r="G32" s="15" t="n">
        <v>46325</v>
      </c>
      <c r="H32" s="20" t="n">
        <f aca="false">NETWORKDAYS(F32,G32)</f>
        <v>10</v>
      </c>
      <c r="I32" s="20" t="s">
        <v>57</v>
      </c>
      <c r="J32" s="16" t="s">
        <v>58</v>
      </c>
      <c r="K32" s="17" t="n">
        <v>0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customFormat="false" ht="15" hidden="false" customHeight="false" outlineLevel="0" collapsed="false">
      <c r="A33" s="13" t="s">
        <v>121</v>
      </c>
      <c r="B33" s="13" t="s">
        <v>101</v>
      </c>
      <c r="C33" s="13" t="s">
        <v>122</v>
      </c>
      <c r="D33" s="14" t="s">
        <v>111</v>
      </c>
      <c r="E33" s="14" t="s">
        <v>64</v>
      </c>
      <c r="F33" s="15" t="n">
        <v>46314</v>
      </c>
      <c r="G33" s="15" t="n">
        <v>46330</v>
      </c>
      <c r="H33" s="14" t="n">
        <f aca="false">NETWORKDAYS(F33,G33)</f>
        <v>13</v>
      </c>
      <c r="I33" s="14" t="s">
        <v>57</v>
      </c>
      <c r="J33" s="16" t="s">
        <v>58</v>
      </c>
      <c r="K33" s="17" t="n">
        <v>0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customFormat="false" ht="15" hidden="false" customHeight="false" outlineLevel="0" collapsed="false">
      <c r="A34" s="19" t="s">
        <v>123</v>
      </c>
      <c r="B34" s="19" t="s">
        <v>101</v>
      </c>
      <c r="C34" s="19" t="s">
        <v>124</v>
      </c>
      <c r="D34" s="20" t="s">
        <v>89</v>
      </c>
      <c r="E34" s="20" t="s">
        <v>64</v>
      </c>
      <c r="F34" s="15" t="n">
        <v>46314</v>
      </c>
      <c r="G34" s="15" t="n">
        <v>46330</v>
      </c>
      <c r="H34" s="20" t="n">
        <f aca="false">NETWORKDAYS(F34,G34)</f>
        <v>13</v>
      </c>
      <c r="I34" s="20" t="s">
        <v>57</v>
      </c>
      <c r="J34" s="16" t="s">
        <v>58</v>
      </c>
      <c r="K34" s="17" t="n">
        <v>0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customFormat="false" ht="15" hidden="false" customHeight="false" outlineLevel="0" collapsed="false">
      <c r="A35" s="13" t="s">
        <v>125</v>
      </c>
      <c r="B35" s="13" t="s">
        <v>101</v>
      </c>
      <c r="C35" s="13" t="s">
        <v>126</v>
      </c>
      <c r="D35" s="14" t="s">
        <v>89</v>
      </c>
      <c r="E35" s="14" t="s">
        <v>64</v>
      </c>
      <c r="F35" s="15" t="n">
        <v>46314</v>
      </c>
      <c r="G35" s="15" t="n">
        <v>46325</v>
      </c>
      <c r="H35" s="14" t="n">
        <f aca="false">NETWORKDAYS(F35,G35)</f>
        <v>10</v>
      </c>
      <c r="I35" s="14" t="s">
        <v>57</v>
      </c>
      <c r="J35" s="16" t="s">
        <v>58</v>
      </c>
      <c r="K35" s="17" t="n">
        <v>0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customFormat="false" ht="15" hidden="false" customHeight="false" outlineLevel="0" collapsed="false">
      <c r="A36" s="19" t="s">
        <v>127</v>
      </c>
      <c r="B36" s="19" t="s">
        <v>101</v>
      </c>
      <c r="C36" s="19" t="s">
        <v>128</v>
      </c>
      <c r="D36" s="20" t="s">
        <v>129</v>
      </c>
      <c r="E36" s="20" t="s">
        <v>64</v>
      </c>
      <c r="F36" s="15" t="n">
        <v>46321</v>
      </c>
      <c r="G36" s="15" t="n">
        <v>46330</v>
      </c>
      <c r="H36" s="20" t="n">
        <f aca="false">NETWORKDAYS(F36,G36)</f>
        <v>8</v>
      </c>
      <c r="I36" s="20" t="s">
        <v>57</v>
      </c>
      <c r="J36" s="16" t="s">
        <v>58</v>
      </c>
      <c r="K36" s="17" t="n">
        <v>0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customFormat="false" ht="15" hidden="false" customHeight="false" outlineLevel="0" collapsed="false">
      <c r="A37" s="13" t="s">
        <v>130</v>
      </c>
      <c r="B37" s="13" t="s">
        <v>101</v>
      </c>
      <c r="C37" s="13" t="s">
        <v>131</v>
      </c>
      <c r="D37" s="14" t="s">
        <v>69</v>
      </c>
      <c r="E37" s="14" t="s">
        <v>61</v>
      </c>
      <c r="F37" s="15" t="n">
        <v>46321</v>
      </c>
      <c r="G37" s="15" t="n">
        <v>46325</v>
      </c>
      <c r="H37" s="14" t="n">
        <f aca="false">NETWORKDAYS(F37,G37)</f>
        <v>5</v>
      </c>
      <c r="I37" s="14" t="s">
        <v>57</v>
      </c>
      <c r="J37" s="16" t="s">
        <v>58</v>
      </c>
      <c r="K37" s="17" t="n">
        <v>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customFormat="false" ht="15" hidden="false" customHeight="false" outlineLevel="0" collapsed="false">
      <c r="A38" s="19" t="s">
        <v>132</v>
      </c>
      <c r="B38" s="19" t="s">
        <v>101</v>
      </c>
      <c r="C38" s="19" t="s">
        <v>133</v>
      </c>
      <c r="D38" s="20" t="s">
        <v>69</v>
      </c>
      <c r="E38" s="20" t="s">
        <v>61</v>
      </c>
      <c r="F38" s="15" t="n">
        <v>46321</v>
      </c>
      <c r="G38" s="15" t="n">
        <v>46325</v>
      </c>
      <c r="H38" s="20" t="n">
        <f aca="false">NETWORKDAYS(F38,G38)</f>
        <v>5</v>
      </c>
      <c r="I38" s="20" t="s">
        <v>57</v>
      </c>
      <c r="J38" s="16" t="s">
        <v>58</v>
      </c>
      <c r="K38" s="17" t="n">
        <v>0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customFormat="false" ht="15" hidden="false" customHeight="false" outlineLevel="0" collapsed="false">
      <c r="A39" s="13" t="s">
        <v>134</v>
      </c>
      <c r="B39" s="13" t="s">
        <v>101</v>
      </c>
      <c r="C39" s="13" t="s">
        <v>135</v>
      </c>
      <c r="D39" s="14" t="s">
        <v>89</v>
      </c>
      <c r="E39" s="14" t="s">
        <v>61</v>
      </c>
      <c r="F39" s="15" t="n">
        <v>46328</v>
      </c>
      <c r="G39" s="15" t="n">
        <v>46329</v>
      </c>
      <c r="H39" s="14" t="n">
        <f aca="false">NETWORKDAYS(F39,G39)</f>
        <v>2</v>
      </c>
      <c r="I39" s="14" t="s">
        <v>57</v>
      </c>
      <c r="J39" s="16" t="s">
        <v>58</v>
      </c>
      <c r="K39" s="17" t="n">
        <v>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customFormat="false" ht="15" hidden="false" customHeight="false" outlineLevel="0" collapsed="false">
      <c r="A40" s="22" t="s">
        <v>136</v>
      </c>
      <c r="B40" s="19" t="s">
        <v>101</v>
      </c>
      <c r="C40" s="22" t="s">
        <v>137</v>
      </c>
      <c r="D40" s="20" t="s">
        <v>61</v>
      </c>
      <c r="E40" s="20" t="s">
        <v>61</v>
      </c>
      <c r="F40" s="15" t="n">
        <v>46328</v>
      </c>
      <c r="G40" s="15" t="n">
        <v>46328</v>
      </c>
      <c r="H40" s="20" t="n">
        <f aca="false">NETWORKDAYS(F40,G40)</f>
        <v>1</v>
      </c>
      <c r="I40" s="20" t="s">
        <v>79</v>
      </c>
      <c r="J40" s="16" t="s">
        <v>58</v>
      </c>
      <c r="K40" s="17" t="n">
        <v>0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customFormat="false" ht="15" hidden="false" customHeight="false" outlineLevel="0" collapsed="false">
      <c r="A41" s="10" t="s">
        <v>138</v>
      </c>
      <c r="B41" s="11" t="s">
        <v>139</v>
      </c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customFormat="false" ht="15" hidden="false" customHeight="false" outlineLevel="0" collapsed="false">
      <c r="A42" s="19" t="s">
        <v>140</v>
      </c>
      <c r="B42" s="19" t="s">
        <v>141</v>
      </c>
      <c r="C42" s="19" t="s">
        <v>142</v>
      </c>
      <c r="D42" s="20" t="s">
        <v>89</v>
      </c>
      <c r="E42" s="20" t="s">
        <v>64</v>
      </c>
      <c r="F42" s="15" t="n">
        <v>46329</v>
      </c>
      <c r="G42" s="15" t="n">
        <v>46332</v>
      </c>
      <c r="H42" s="20" t="n">
        <f aca="false">NETWORKDAYS(F42,G42)</f>
        <v>4</v>
      </c>
      <c r="I42" s="20" t="s">
        <v>57</v>
      </c>
      <c r="J42" s="16" t="s">
        <v>58</v>
      </c>
      <c r="K42" s="17" t="n">
        <v>0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customFormat="false" ht="15" hidden="false" customHeight="false" outlineLevel="0" collapsed="false">
      <c r="A43" s="13" t="s">
        <v>143</v>
      </c>
      <c r="B43" s="13" t="s">
        <v>141</v>
      </c>
      <c r="C43" s="13" t="s">
        <v>144</v>
      </c>
      <c r="D43" s="14" t="s">
        <v>89</v>
      </c>
      <c r="E43" s="14" t="s">
        <v>64</v>
      </c>
      <c r="F43" s="15" t="n">
        <v>46335</v>
      </c>
      <c r="G43" s="15" t="n">
        <v>46339</v>
      </c>
      <c r="H43" s="14" t="n">
        <f aca="false">NETWORKDAYS(F43,G43)</f>
        <v>5</v>
      </c>
      <c r="I43" s="14" t="s">
        <v>57</v>
      </c>
      <c r="J43" s="16" t="s">
        <v>58</v>
      </c>
      <c r="K43" s="17" t="n">
        <v>0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customFormat="false" ht="15" hidden="false" customHeight="false" outlineLevel="0" collapsed="false">
      <c r="A44" s="19" t="s">
        <v>145</v>
      </c>
      <c r="B44" s="19" t="s">
        <v>141</v>
      </c>
      <c r="C44" s="19" t="s">
        <v>146</v>
      </c>
      <c r="D44" s="20" t="s">
        <v>89</v>
      </c>
      <c r="E44" s="20" t="s">
        <v>64</v>
      </c>
      <c r="F44" s="15" t="n">
        <v>46338</v>
      </c>
      <c r="G44" s="15" t="n">
        <v>46344</v>
      </c>
      <c r="H44" s="20" t="n">
        <f aca="false">NETWORKDAYS(F44,G44)</f>
        <v>5</v>
      </c>
      <c r="I44" s="20" t="s">
        <v>57</v>
      </c>
      <c r="J44" s="16" t="s">
        <v>58</v>
      </c>
      <c r="K44" s="17" t="n">
        <v>0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customFormat="false" ht="15" hidden="false" customHeight="false" outlineLevel="0" collapsed="false">
      <c r="A45" s="13" t="s">
        <v>147</v>
      </c>
      <c r="B45" s="13" t="s">
        <v>141</v>
      </c>
      <c r="C45" s="13" t="s">
        <v>148</v>
      </c>
      <c r="D45" s="14" t="s">
        <v>89</v>
      </c>
      <c r="E45" s="14" t="s">
        <v>64</v>
      </c>
      <c r="F45" s="15" t="n">
        <v>46342</v>
      </c>
      <c r="G45" s="15" t="n">
        <v>46346</v>
      </c>
      <c r="H45" s="14" t="n">
        <f aca="false">NETWORKDAYS(F45,G45)</f>
        <v>5</v>
      </c>
      <c r="I45" s="14" t="s">
        <v>57</v>
      </c>
      <c r="J45" s="16" t="s">
        <v>58</v>
      </c>
      <c r="K45" s="17" t="n">
        <v>0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customFormat="false" ht="15" hidden="false" customHeight="false" outlineLevel="0" collapsed="false">
      <c r="A46" s="19" t="s">
        <v>149</v>
      </c>
      <c r="B46" s="19" t="s">
        <v>141</v>
      </c>
      <c r="C46" s="19" t="s">
        <v>150</v>
      </c>
      <c r="D46" s="20" t="s">
        <v>95</v>
      </c>
      <c r="E46" s="20" t="s">
        <v>64</v>
      </c>
      <c r="F46" s="15" t="n">
        <v>46329</v>
      </c>
      <c r="G46" s="15" t="n">
        <v>46360</v>
      </c>
      <c r="H46" s="20" t="n">
        <f aca="false">NETWORKDAYS(F46,G46)</f>
        <v>24</v>
      </c>
      <c r="I46" s="20" t="s">
        <v>57</v>
      </c>
      <c r="J46" s="16" t="s">
        <v>58</v>
      </c>
      <c r="K46" s="17" t="n">
        <v>0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customFormat="false" ht="15" hidden="false" customHeight="false" outlineLevel="0" collapsed="false">
      <c r="A47" s="13" t="s">
        <v>151</v>
      </c>
      <c r="B47" s="13" t="s">
        <v>141</v>
      </c>
      <c r="C47" s="13" t="s">
        <v>152</v>
      </c>
      <c r="D47" s="14" t="s">
        <v>64</v>
      </c>
      <c r="E47" s="14" t="s">
        <v>61</v>
      </c>
      <c r="F47" s="15" t="n">
        <v>46332</v>
      </c>
      <c r="G47" s="15" t="n">
        <v>46346</v>
      </c>
      <c r="H47" s="14" t="n">
        <f aca="false">NETWORKDAYS(F47,G47)</f>
        <v>11</v>
      </c>
      <c r="I47" s="14" t="s">
        <v>57</v>
      </c>
      <c r="J47" s="16" t="s">
        <v>58</v>
      </c>
      <c r="K47" s="17" t="n">
        <v>0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customFormat="false" ht="15" hidden="false" customHeight="false" outlineLevel="0" collapsed="false">
      <c r="A48" s="10" t="s">
        <v>153</v>
      </c>
      <c r="B48" s="11" t="s">
        <v>154</v>
      </c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customFormat="false" ht="15" hidden="false" customHeight="false" outlineLevel="0" collapsed="false">
      <c r="A49" s="13" t="s">
        <v>155</v>
      </c>
      <c r="B49" s="13" t="s">
        <v>156</v>
      </c>
      <c r="C49" s="13" t="s">
        <v>157</v>
      </c>
      <c r="D49" s="14" t="s">
        <v>89</v>
      </c>
      <c r="E49" s="14" t="s">
        <v>64</v>
      </c>
      <c r="F49" s="15" t="n">
        <v>46349</v>
      </c>
      <c r="G49" s="15" t="n">
        <v>46358</v>
      </c>
      <c r="H49" s="14" t="n">
        <f aca="false">NETWORKDAYS(F49,G49)</f>
        <v>8</v>
      </c>
      <c r="I49" s="14" t="s">
        <v>57</v>
      </c>
      <c r="J49" s="16" t="s">
        <v>58</v>
      </c>
      <c r="K49" s="17" t="n">
        <v>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customFormat="false" ht="15" hidden="false" customHeight="false" outlineLevel="0" collapsed="false">
      <c r="A50" s="19" t="s">
        <v>158</v>
      </c>
      <c r="B50" s="19" t="s">
        <v>156</v>
      </c>
      <c r="C50" s="19" t="s">
        <v>159</v>
      </c>
      <c r="D50" s="20" t="s">
        <v>64</v>
      </c>
      <c r="E50" s="20" t="s">
        <v>61</v>
      </c>
      <c r="F50" s="15" t="n">
        <v>46357</v>
      </c>
      <c r="G50" s="15" t="n">
        <v>46359</v>
      </c>
      <c r="H50" s="20" t="n">
        <f aca="false">NETWORKDAYS(F50,G50)</f>
        <v>3</v>
      </c>
      <c r="I50" s="20" t="s">
        <v>57</v>
      </c>
      <c r="J50" s="16" t="s">
        <v>58</v>
      </c>
      <c r="K50" s="17" t="n">
        <v>0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customFormat="false" ht="15" hidden="false" customHeight="false" outlineLevel="0" collapsed="false">
      <c r="A51" s="21" t="s">
        <v>160</v>
      </c>
      <c r="B51" s="13" t="s">
        <v>156</v>
      </c>
      <c r="C51" s="21" t="s">
        <v>161</v>
      </c>
      <c r="D51" s="14" t="s">
        <v>61</v>
      </c>
      <c r="E51" s="14" t="s">
        <v>56</v>
      </c>
      <c r="F51" s="15" t="n">
        <v>46360</v>
      </c>
      <c r="G51" s="15" t="n">
        <v>46360</v>
      </c>
      <c r="H51" s="14" t="n">
        <f aca="false">NETWORKDAYS(F51,G51)</f>
        <v>1</v>
      </c>
      <c r="I51" s="14" t="s">
        <v>79</v>
      </c>
      <c r="J51" s="16" t="s">
        <v>58</v>
      </c>
      <c r="K51" s="17" t="n">
        <v>0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customFormat="false" ht="15" hidden="false" customHeight="false" outlineLevel="0" collapsed="false">
      <c r="A52" s="10" t="s">
        <v>162</v>
      </c>
      <c r="B52" s="11" t="s">
        <v>163</v>
      </c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customFormat="false" ht="23.85" hidden="false" customHeight="false" outlineLevel="0" collapsed="false">
      <c r="A53" s="13" t="s">
        <v>164</v>
      </c>
      <c r="B53" s="13" t="s">
        <v>165</v>
      </c>
      <c r="C53" s="13" t="s">
        <v>166</v>
      </c>
      <c r="D53" s="14" t="s">
        <v>69</v>
      </c>
      <c r="E53" s="14" t="s">
        <v>61</v>
      </c>
      <c r="F53" s="15" t="n">
        <v>46363</v>
      </c>
      <c r="G53" s="15" t="n">
        <v>46367</v>
      </c>
      <c r="H53" s="14" t="n">
        <f aca="false">NETWORKDAYS(F53,G53)</f>
        <v>5</v>
      </c>
      <c r="I53" s="14" t="s">
        <v>57</v>
      </c>
      <c r="J53" s="16" t="s">
        <v>58</v>
      </c>
      <c r="K53" s="17" t="n">
        <v>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customFormat="false" ht="15" hidden="false" customHeight="false" outlineLevel="0" collapsed="false">
      <c r="A54" s="19" t="s">
        <v>167</v>
      </c>
      <c r="B54" s="19" t="s">
        <v>165</v>
      </c>
      <c r="C54" s="19" t="s">
        <v>168</v>
      </c>
      <c r="D54" s="20" t="s">
        <v>69</v>
      </c>
      <c r="E54" s="20" t="s">
        <v>61</v>
      </c>
      <c r="F54" s="15" t="n">
        <v>46363</v>
      </c>
      <c r="G54" s="15" t="n">
        <v>46367</v>
      </c>
      <c r="H54" s="20" t="n">
        <f aca="false">NETWORKDAYS(F54,G54)</f>
        <v>5</v>
      </c>
      <c r="I54" s="20" t="s">
        <v>57</v>
      </c>
      <c r="J54" s="16" t="s">
        <v>58</v>
      </c>
      <c r="K54" s="17" t="n">
        <v>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customFormat="false" ht="15" hidden="false" customHeight="false" outlineLevel="0" collapsed="false">
      <c r="A55" s="21" t="s">
        <v>169</v>
      </c>
      <c r="B55" s="13" t="s">
        <v>165</v>
      </c>
      <c r="C55" s="21" t="s">
        <v>170</v>
      </c>
      <c r="D55" s="14" t="s">
        <v>171</v>
      </c>
      <c r="E55" s="14" t="s">
        <v>56</v>
      </c>
      <c r="F55" s="15" t="n">
        <v>46371</v>
      </c>
      <c r="G55" s="15" t="n">
        <v>46371</v>
      </c>
      <c r="H55" s="14" t="n">
        <f aca="false">NETWORKDAYS(F55,G55)</f>
        <v>1</v>
      </c>
      <c r="I55" s="14" t="s">
        <v>79</v>
      </c>
      <c r="J55" s="16" t="s">
        <v>58</v>
      </c>
      <c r="K55" s="17" t="n">
        <v>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customFormat="false" ht="15" hidden="false" customHeight="false" outlineLevel="0" collapsed="false">
      <c r="A56" s="19" t="s">
        <v>172</v>
      </c>
      <c r="B56" s="19" t="s">
        <v>165</v>
      </c>
      <c r="C56" s="19" t="s">
        <v>173</v>
      </c>
      <c r="D56" s="20" t="s">
        <v>89</v>
      </c>
      <c r="E56" s="20" t="s">
        <v>61</v>
      </c>
      <c r="F56" s="15" t="n">
        <v>46371</v>
      </c>
      <c r="G56" s="15" t="n">
        <v>46379</v>
      </c>
      <c r="H56" s="20" t="n">
        <f aca="false">NETWORKDAYS(F56,G56)</f>
        <v>7</v>
      </c>
      <c r="I56" s="20" t="s">
        <v>57</v>
      </c>
      <c r="J56" s="16" t="s">
        <v>58</v>
      </c>
      <c r="K56" s="17" t="n">
        <v>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customFormat="false" ht="15" hidden="false" customHeight="false" outlineLevel="0" collapsed="false">
      <c r="A57" s="13" t="s">
        <v>174</v>
      </c>
      <c r="B57" s="13" t="s">
        <v>165</v>
      </c>
      <c r="C57" s="13" t="s">
        <v>175</v>
      </c>
      <c r="D57" s="14" t="s">
        <v>69</v>
      </c>
      <c r="E57" s="14" t="s">
        <v>61</v>
      </c>
      <c r="F57" s="15" t="n">
        <v>46370</v>
      </c>
      <c r="G57" s="15" t="n">
        <v>46387</v>
      </c>
      <c r="H57" s="14" t="n">
        <f aca="false">NETWORKDAYS(F57,G57)</f>
        <v>14</v>
      </c>
      <c r="I57" s="14" t="s">
        <v>57</v>
      </c>
      <c r="J57" s="16" t="s">
        <v>58</v>
      </c>
      <c r="K57" s="17" t="n">
        <v>0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customFormat="false" ht="15" hidden="false" customHeight="false" outlineLevel="0" collapsed="false">
      <c r="A58" s="22" t="s">
        <v>176</v>
      </c>
      <c r="B58" s="19" t="s">
        <v>177</v>
      </c>
      <c r="C58" s="22" t="s">
        <v>178</v>
      </c>
      <c r="D58" s="20" t="s">
        <v>171</v>
      </c>
      <c r="E58" s="20" t="s">
        <v>56</v>
      </c>
      <c r="F58" s="15" t="n">
        <v>46388</v>
      </c>
      <c r="G58" s="15" t="n">
        <v>46388</v>
      </c>
      <c r="H58" s="20" t="n">
        <f aca="false">NETWORKDAYS(F58,G58)</f>
        <v>1</v>
      </c>
      <c r="I58" s="20" t="s">
        <v>79</v>
      </c>
      <c r="J58" s="16" t="s">
        <v>58</v>
      </c>
      <c r="K58" s="17" t="n">
        <v>0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customFormat="false" ht="15" hidden="false" customHeight="false" outlineLevel="0" collapsed="false">
      <c r="A59" s="13" t="s">
        <v>179</v>
      </c>
      <c r="B59" s="13" t="s">
        <v>177</v>
      </c>
      <c r="C59" s="13" t="s">
        <v>180</v>
      </c>
      <c r="D59" s="14" t="s">
        <v>69</v>
      </c>
      <c r="E59" s="14" t="s">
        <v>61</v>
      </c>
      <c r="F59" s="15" t="n">
        <v>46391</v>
      </c>
      <c r="G59" s="15" t="n">
        <v>46402</v>
      </c>
      <c r="H59" s="14" t="n">
        <f aca="false">NETWORKDAYS(F59,G59)</f>
        <v>10</v>
      </c>
      <c r="I59" s="14" t="s">
        <v>57</v>
      </c>
      <c r="J59" s="16" t="s">
        <v>58</v>
      </c>
      <c r="K59" s="17" t="n">
        <v>0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customFormat="false" ht="15" hidden="false" customHeight="false" outlineLevel="0" collapsed="false">
      <c r="A60" s="19" t="s">
        <v>181</v>
      </c>
      <c r="B60" s="19" t="s">
        <v>177</v>
      </c>
      <c r="C60" s="19" t="s">
        <v>182</v>
      </c>
      <c r="D60" s="20" t="s">
        <v>183</v>
      </c>
      <c r="E60" s="20" t="s">
        <v>61</v>
      </c>
      <c r="F60" s="15" t="n">
        <v>46419</v>
      </c>
      <c r="G60" s="15" t="n">
        <v>46423</v>
      </c>
      <c r="H60" s="20" t="n">
        <f aca="false">NETWORKDAYS(F60,G60)</f>
        <v>5</v>
      </c>
      <c r="I60" s="20" t="s">
        <v>57</v>
      </c>
      <c r="J60" s="16" t="s">
        <v>58</v>
      </c>
      <c r="K60" s="17" t="n">
        <v>0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customFormat="false" ht="15" hidden="false" customHeight="false" outlineLevel="0" collapsed="false">
      <c r="A61" s="13" t="s">
        <v>184</v>
      </c>
      <c r="B61" s="13" t="s">
        <v>177</v>
      </c>
      <c r="C61" s="13" t="s">
        <v>185</v>
      </c>
      <c r="D61" s="14" t="s">
        <v>61</v>
      </c>
      <c r="E61" s="14" t="s">
        <v>56</v>
      </c>
      <c r="F61" s="15" t="n">
        <v>46426</v>
      </c>
      <c r="G61" s="15" t="n">
        <v>46430</v>
      </c>
      <c r="H61" s="14" t="n">
        <f aca="false">NETWORKDAYS(F61,G61)</f>
        <v>5</v>
      </c>
      <c r="I61" s="14" t="s">
        <v>57</v>
      </c>
      <c r="J61" s="16" t="s">
        <v>58</v>
      </c>
      <c r="K61" s="17" t="n">
        <v>0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3" customFormat="false" ht="15" hidden="false" customHeight="false" outlineLevel="0" collapsed="false">
      <c r="C63" s="2" t="s">
        <v>186</v>
      </c>
    </row>
  </sheetData>
  <mergeCells count="6">
    <mergeCell ref="B6:C6"/>
    <mergeCell ref="B16:C16"/>
    <mergeCell ref="B23:C23"/>
    <mergeCell ref="B41:C41"/>
    <mergeCell ref="B48:C48"/>
    <mergeCell ref="B52:C52"/>
  </mergeCells>
  <conditionalFormatting sqref="L6:AD61">
    <cfRule type="expression" priority="2" aboveAverage="0" equalAverage="0" bottom="0" percent="0" rank="0" text="" dxfId="0">
      <formula>AND($I6="Milestone",$F6&lt;=L$5+6,$F6&gt;=L$5)</formula>
    </cfRule>
    <cfRule type="expression" priority="3" aboveAverage="0" equalAverage="0" bottom="0" percent="0" rank="0" text="" dxfId="1">
      <formula>AND($I6="Task",$J6="Complete",$F6&lt;=L$5+6,$G6&gt;=L$5)</formula>
    </cfRule>
    <cfRule type="expression" priority="4" aboveAverage="0" equalAverage="0" bottom="0" percent="0" rank="0" text="" dxfId="2">
      <formula>AND($I6="Task",$F6&lt;=L$5+6,$G6&gt;=L$5)</formula>
    </cfRule>
    <cfRule type="expression" priority="5" aboveAverage="0" equalAverage="0" bottom="0" percent="0" rank="0" text="" dxfId="3">
      <formula>AND($G$3&gt;=L$5,$G$3&lt;=L$5+6)</formula>
    </cfRule>
  </conditionalFormatting>
  <conditionalFormatting sqref="J6:J61">
    <cfRule type="cellIs" priority="6" operator="equal" aboveAverage="0" equalAverage="0" bottom="0" percent="0" rank="0" text="" dxfId="4">
      <formula>"At risk"</formula>
    </cfRule>
    <cfRule type="cellIs" priority="7" operator="equal" aboveAverage="0" equalAverage="0" bottom="0" percent="0" rank="0" text="" dxfId="5">
      <formula>"Blocked"</formula>
    </cfRule>
  </conditionalFormatting>
  <dataValidations count="1">
    <dataValidation allowBlank="true" errorStyle="stop" operator="between" showDropDown="false" showErrorMessage="false" showInputMessage="false" sqref="J6:J61" type="list">
      <formula1>"Not started,In progress,Complete,At risk,Blocked"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Q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16" min="3" style="0" width="9.5"/>
    <col collapsed="false" customWidth="true" hidden="false" outlineLevel="0" max="17" min="17" style="0" width="10"/>
  </cols>
  <sheetData>
    <row r="1" customFormat="false" ht="19.7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42" hidden="false" customHeight="true" outlineLevel="0" collapsed="false">
      <c r="A4" s="8" t="s">
        <v>40</v>
      </c>
      <c r="B4" s="8" t="s">
        <v>42</v>
      </c>
      <c r="C4" s="8" t="s">
        <v>189</v>
      </c>
      <c r="D4" s="8" t="s">
        <v>190</v>
      </c>
      <c r="E4" s="8" t="s">
        <v>191</v>
      </c>
      <c r="F4" s="8" t="s">
        <v>192</v>
      </c>
      <c r="G4" s="8" t="s">
        <v>193</v>
      </c>
      <c r="H4" s="8" t="s">
        <v>194</v>
      </c>
      <c r="I4" s="8" t="s">
        <v>195</v>
      </c>
      <c r="J4" s="8" t="s">
        <v>196</v>
      </c>
      <c r="K4" s="8" t="s">
        <v>197</v>
      </c>
      <c r="L4" s="8" t="s">
        <v>198</v>
      </c>
      <c r="M4" s="8" t="s">
        <v>199</v>
      </c>
      <c r="N4" s="8" t="s">
        <v>200</v>
      </c>
      <c r="O4" s="8" t="s">
        <v>201</v>
      </c>
      <c r="P4" s="8" t="s">
        <v>202</v>
      </c>
      <c r="Q4" s="8" t="s">
        <v>203</v>
      </c>
    </row>
    <row r="5" customFormat="false" ht="15" hidden="false" customHeight="false" outlineLevel="0" collapsed="false">
      <c r="A5" s="13" t="s">
        <v>53</v>
      </c>
      <c r="B5" s="13" t="s">
        <v>55</v>
      </c>
      <c r="C5" s="14" t="s">
        <v>44</v>
      </c>
      <c r="D5" s="14"/>
      <c r="E5" s="14" t="s">
        <v>204</v>
      </c>
      <c r="F5" s="14"/>
      <c r="G5" s="14"/>
      <c r="H5" s="14"/>
      <c r="I5" s="14"/>
      <c r="J5" s="14"/>
      <c r="K5" s="14"/>
      <c r="L5" s="14"/>
      <c r="M5" s="14" t="s">
        <v>205</v>
      </c>
      <c r="N5" s="14"/>
      <c r="O5" s="14"/>
      <c r="P5" s="14"/>
      <c r="Q5" s="14" t="str">
        <f aca="false">IF(COUNTIF(C5:P5,"A")=1,"OK","Fix")</f>
        <v>OK</v>
      </c>
    </row>
    <row r="6" customFormat="false" ht="15" hidden="false" customHeight="false" outlineLevel="0" collapsed="false">
      <c r="A6" s="19" t="s">
        <v>59</v>
      </c>
      <c r="B6" s="19" t="s">
        <v>60</v>
      </c>
      <c r="C6" s="14" t="s">
        <v>44</v>
      </c>
      <c r="D6" s="14" t="s">
        <v>43</v>
      </c>
      <c r="E6" s="14" t="s">
        <v>204</v>
      </c>
      <c r="F6" s="14"/>
      <c r="G6" s="14"/>
      <c r="H6" s="14" t="s">
        <v>205</v>
      </c>
      <c r="I6" s="14"/>
      <c r="J6" s="14" t="s">
        <v>205</v>
      </c>
      <c r="K6" s="14"/>
      <c r="L6" s="14"/>
      <c r="M6" s="14" t="s">
        <v>205</v>
      </c>
      <c r="N6" s="14"/>
      <c r="O6" s="14"/>
      <c r="P6" s="14"/>
      <c r="Q6" s="14" t="str">
        <f aca="false">IF(COUNTIF(C6:P6,"A")=1,"OK","Fix")</f>
        <v>OK</v>
      </c>
    </row>
    <row r="7" customFormat="false" ht="15" hidden="false" customHeight="false" outlineLevel="0" collapsed="false">
      <c r="A7" s="13" t="s">
        <v>62</v>
      </c>
      <c r="B7" s="13" t="s">
        <v>63</v>
      </c>
      <c r="C7" s="14" t="s">
        <v>44</v>
      </c>
      <c r="D7" s="14" t="s">
        <v>204</v>
      </c>
      <c r="E7" s="14" t="s">
        <v>43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 t="str">
        <f aca="false">IF(COUNTIF(C7:P7,"A")=1,"OK","Fix")</f>
        <v>OK</v>
      </c>
    </row>
    <row r="8" customFormat="false" ht="15" hidden="false" customHeight="false" outlineLevel="0" collapsed="false">
      <c r="A8" s="19" t="s">
        <v>65</v>
      </c>
      <c r="B8" s="19" t="s">
        <v>66</v>
      </c>
      <c r="C8" s="14" t="s">
        <v>44</v>
      </c>
      <c r="D8" s="14" t="s">
        <v>43</v>
      </c>
      <c r="E8" s="14" t="s">
        <v>204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 t="str">
        <f aca="false">IF(COUNTIF(C8:P8,"A")=1,"OK","Fix")</f>
        <v>OK</v>
      </c>
    </row>
    <row r="9" customFormat="false" ht="15" hidden="false" customHeight="false" outlineLevel="0" collapsed="false">
      <c r="A9" s="13" t="s">
        <v>67</v>
      </c>
      <c r="B9" s="13" t="s">
        <v>68</v>
      </c>
      <c r="C9" s="14"/>
      <c r="D9" s="14" t="s">
        <v>44</v>
      </c>
      <c r="E9" s="14" t="s">
        <v>205</v>
      </c>
      <c r="F9" s="14"/>
      <c r="G9" s="14"/>
      <c r="H9" s="14" t="s">
        <v>43</v>
      </c>
      <c r="I9" s="14" t="s">
        <v>204</v>
      </c>
      <c r="J9" s="14"/>
      <c r="K9" s="14"/>
      <c r="L9" s="14"/>
      <c r="M9" s="14"/>
      <c r="N9" s="14"/>
      <c r="O9" s="14"/>
      <c r="P9" s="14"/>
      <c r="Q9" s="14" t="str">
        <f aca="false">IF(COUNTIF(C9:P9,"A")=1,"OK","Fix")</f>
        <v>OK</v>
      </c>
    </row>
    <row r="10" customFormat="false" ht="15" hidden="false" customHeight="false" outlineLevel="0" collapsed="false">
      <c r="A10" s="19" t="s">
        <v>70</v>
      </c>
      <c r="B10" s="19" t="s">
        <v>71</v>
      </c>
      <c r="C10" s="14" t="s">
        <v>205</v>
      </c>
      <c r="D10" s="14" t="s">
        <v>44</v>
      </c>
      <c r="E10" s="14"/>
      <c r="F10" s="14"/>
      <c r="G10" s="14"/>
      <c r="H10" s="14" t="s">
        <v>43</v>
      </c>
      <c r="I10" s="14" t="s">
        <v>204</v>
      </c>
      <c r="J10" s="14"/>
      <c r="K10" s="14"/>
      <c r="L10" s="14"/>
      <c r="M10" s="14"/>
      <c r="N10" s="14"/>
      <c r="O10" s="14"/>
      <c r="P10" s="14"/>
      <c r="Q10" s="14" t="str">
        <f aca="false">IF(COUNTIF(C10:P10,"A")=1,"OK","Fix")</f>
        <v>OK</v>
      </c>
    </row>
    <row r="11" customFormat="false" ht="15" hidden="false" customHeight="false" outlineLevel="0" collapsed="false">
      <c r="A11" s="13" t="s">
        <v>72</v>
      </c>
      <c r="B11" s="13" t="s">
        <v>73</v>
      </c>
      <c r="C11" s="14" t="s">
        <v>44</v>
      </c>
      <c r="D11" s="14" t="s">
        <v>43</v>
      </c>
      <c r="E11" s="14" t="s">
        <v>205</v>
      </c>
      <c r="F11" s="14"/>
      <c r="G11" s="14"/>
      <c r="H11" s="14" t="s">
        <v>204</v>
      </c>
      <c r="I11" s="14"/>
      <c r="J11" s="14"/>
      <c r="K11" s="14"/>
      <c r="L11" s="14"/>
      <c r="M11" s="14"/>
      <c r="N11" s="14"/>
      <c r="O11" s="14"/>
      <c r="P11" s="14" t="s">
        <v>204</v>
      </c>
      <c r="Q11" s="14" t="str">
        <f aca="false">IF(COUNTIF(C11:P11,"A")=1,"OK","Fix")</f>
        <v>OK</v>
      </c>
    </row>
    <row r="12" customFormat="false" ht="15" hidden="false" customHeight="false" outlineLevel="0" collapsed="false">
      <c r="A12" s="19" t="s">
        <v>74</v>
      </c>
      <c r="B12" s="19" t="s">
        <v>75</v>
      </c>
      <c r="C12" s="14" t="s">
        <v>205</v>
      </c>
      <c r="D12" s="14" t="s">
        <v>44</v>
      </c>
      <c r="E12" s="14" t="s">
        <v>204</v>
      </c>
      <c r="F12" s="14"/>
      <c r="G12" s="14"/>
      <c r="H12" s="14"/>
      <c r="I12" s="14"/>
      <c r="J12" s="14" t="s">
        <v>204</v>
      </c>
      <c r="K12" s="14"/>
      <c r="L12" s="14"/>
      <c r="M12" s="14"/>
      <c r="N12" s="14" t="s">
        <v>43</v>
      </c>
      <c r="O12" s="14"/>
      <c r="P12" s="14"/>
      <c r="Q12" s="14" t="str">
        <f aca="false">IF(COUNTIF(C12:P12,"A")=1,"OK","Fix")</f>
        <v>OK</v>
      </c>
    </row>
    <row r="13" customFormat="false" ht="23.85" hidden="false" customHeight="false" outlineLevel="0" collapsed="false">
      <c r="A13" s="13" t="s">
        <v>82</v>
      </c>
      <c r="B13" s="13" t="s">
        <v>84</v>
      </c>
      <c r="C13" s="14"/>
      <c r="D13" s="14" t="s">
        <v>44</v>
      </c>
      <c r="E13" s="14" t="s">
        <v>205</v>
      </c>
      <c r="F13" s="14"/>
      <c r="G13" s="14"/>
      <c r="H13" s="14" t="s">
        <v>43</v>
      </c>
      <c r="I13" s="14"/>
      <c r="J13" s="14" t="s">
        <v>204</v>
      </c>
      <c r="K13" s="14"/>
      <c r="L13" s="14"/>
      <c r="M13" s="14"/>
      <c r="N13" s="14"/>
      <c r="O13" s="14"/>
      <c r="P13" s="14"/>
      <c r="Q13" s="14" t="str">
        <f aca="false">IF(COUNTIF(C13:P13,"A")=1,"OK","Fix")</f>
        <v>OK</v>
      </c>
    </row>
    <row r="14" customFormat="false" ht="15" hidden="false" customHeight="false" outlineLevel="0" collapsed="false">
      <c r="A14" s="19" t="s">
        <v>85</v>
      </c>
      <c r="B14" s="19" t="s">
        <v>86</v>
      </c>
      <c r="C14" s="14"/>
      <c r="D14" s="14" t="s">
        <v>205</v>
      </c>
      <c r="E14" s="14" t="s">
        <v>44</v>
      </c>
      <c r="F14" s="14"/>
      <c r="G14" s="14"/>
      <c r="H14" s="14" t="s">
        <v>43</v>
      </c>
      <c r="I14" s="14"/>
      <c r="J14" s="14"/>
      <c r="K14" s="14"/>
      <c r="L14" s="14" t="s">
        <v>204</v>
      </c>
      <c r="M14" s="14" t="s">
        <v>204</v>
      </c>
      <c r="N14" s="14"/>
      <c r="O14" s="14"/>
      <c r="P14" s="14"/>
      <c r="Q14" s="14" t="str">
        <f aca="false">IF(COUNTIF(C14:P14,"A")=1,"OK","Fix")</f>
        <v>OK</v>
      </c>
    </row>
    <row r="15" customFormat="false" ht="15" hidden="false" customHeight="false" outlineLevel="0" collapsed="false">
      <c r="A15" s="13" t="s">
        <v>87</v>
      </c>
      <c r="B15" s="13" t="s">
        <v>88</v>
      </c>
      <c r="C15" s="14"/>
      <c r="D15" s="14" t="s">
        <v>205</v>
      </c>
      <c r="E15" s="14" t="s">
        <v>44</v>
      </c>
      <c r="F15" s="14" t="s">
        <v>43</v>
      </c>
      <c r="G15" s="14"/>
      <c r="H15" s="14"/>
      <c r="I15" s="14"/>
      <c r="J15" s="14"/>
      <c r="K15" s="14"/>
      <c r="L15" s="14"/>
      <c r="M15" s="14" t="s">
        <v>204</v>
      </c>
      <c r="N15" s="14"/>
      <c r="O15" s="14"/>
      <c r="P15" s="14"/>
      <c r="Q15" s="14" t="str">
        <f aca="false">IF(COUNTIF(C15:P15,"A")=1,"OK","Fix")</f>
        <v>OK</v>
      </c>
    </row>
    <row r="16" customFormat="false" ht="15" hidden="false" customHeight="false" outlineLevel="0" collapsed="false">
      <c r="A16" s="19" t="s">
        <v>90</v>
      </c>
      <c r="B16" s="19" t="s">
        <v>91</v>
      </c>
      <c r="C16" s="14"/>
      <c r="D16" s="14" t="s">
        <v>205</v>
      </c>
      <c r="E16" s="14" t="s">
        <v>44</v>
      </c>
      <c r="F16" s="14"/>
      <c r="G16" s="14"/>
      <c r="H16" s="14"/>
      <c r="I16" s="14"/>
      <c r="J16" s="14" t="s">
        <v>43</v>
      </c>
      <c r="K16" s="14"/>
      <c r="L16" s="14"/>
      <c r="M16" s="14"/>
      <c r="N16" s="14" t="s">
        <v>204</v>
      </c>
      <c r="O16" s="14"/>
      <c r="P16" s="14"/>
      <c r="Q16" s="14" t="str">
        <f aca="false">IF(COUNTIF(C16:P16,"A")=1,"OK","Fix")</f>
        <v>OK</v>
      </c>
    </row>
    <row r="17" customFormat="false" ht="15" hidden="false" customHeight="false" outlineLevel="0" collapsed="false">
      <c r="A17" s="13" t="s">
        <v>93</v>
      </c>
      <c r="B17" s="13" t="s">
        <v>94</v>
      </c>
      <c r="C17" s="14"/>
      <c r="D17" s="14" t="s">
        <v>205</v>
      </c>
      <c r="E17" s="14" t="s">
        <v>44</v>
      </c>
      <c r="F17" s="14"/>
      <c r="G17" s="14"/>
      <c r="H17" s="14" t="s">
        <v>204</v>
      </c>
      <c r="I17" s="14"/>
      <c r="J17" s="14"/>
      <c r="K17" s="14" t="s">
        <v>43</v>
      </c>
      <c r="L17" s="14"/>
      <c r="M17" s="14" t="s">
        <v>204</v>
      </c>
      <c r="N17" s="14"/>
      <c r="O17" s="14"/>
      <c r="P17" s="14"/>
      <c r="Q17" s="14" t="str">
        <f aca="false">IF(COUNTIF(C17:P17,"A")=1,"OK","Fix")</f>
        <v>OK</v>
      </c>
    </row>
    <row r="18" customFormat="false" ht="15" hidden="false" customHeight="false" outlineLevel="0" collapsed="false">
      <c r="A18" s="19" t="s">
        <v>96</v>
      </c>
      <c r="B18" s="19" t="s">
        <v>97</v>
      </c>
      <c r="C18" s="14"/>
      <c r="D18" s="14" t="s">
        <v>44</v>
      </c>
      <c r="E18" s="14" t="s">
        <v>205</v>
      </c>
      <c r="F18" s="14"/>
      <c r="G18" s="14"/>
      <c r="H18" s="14" t="s">
        <v>43</v>
      </c>
      <c r="I18" s="14" t="s">
        <v>204</v>
      </c>
      <c r="J18" s="14" t="s">
        <v>204</v>
      </c>
      <c r="K18" s="14"/>
      <c r="L18" s="14"/>
      <c r="M18" s="14"/>
      <c r="N18" s="14"/>
      <c r="O18" s="14"/>
      <c r="P18" s="14"/>
      <c r="Q18" s="14" t="str">
        <f aca="false">IF(COUNTIF(C18:P18,"A")=1,"OK","Fix")</f>
        <v>OK</v>
      </c>
    </row>
    <row r="19" customFormat="false" ht="15" hidden="false" customHeight="false" outlineLevel="0" collapsed="false">
      <c r="A19" s="13" t="s">
        <v>100</v>
      </c>
      <c r="B19" s="13" t="s">
        <v>102</v>
      </c>
      <c r="C19" s="14"/>
      <c r="D19" s="14" t="s">
        <v>44</v>
      </c>
      <c r="E19" s="14" t="s">
        <v>43</v>
      </c>
      <c r="F19" s="14"/>
      <c r="G19" s="14"/>
      <c r="H19" s="14"/>
      <c r="I19" s="14"/>
      <c r="J19" s="14" t="s">
        <v>204</v>
      </c>
      <c r="K19" s="14"/>
      <c r="L19" s="14" t="s">
        <v>204</v>
      </c>
      <c r="M19" s="14" t="s">
        <v>204</v>
      </c>
      <c r="N19" s="14"/>
      <c r="O19" s="14"/>
      <c r="P19" s="14"/>
      <c r="Q19" s="14" t="str">
        <f aca="false">IF(COUNTIF(C19:P19,"A")=1,"OK","Fix")</f>
        <v>OK</v>
      </c>
    </row>
    <row r="20" customFormat="false" ht="15" hidden="false" customHeight="false" outlineLevel="0" collapsed="false">
      <c r="A20" s="19" t="s">
        <v>103</v>
      </c>
      <c r="B20" s="19" t="s">
        <v>104</v>
      </c>
      <c r="C20" s="14"/>
      <c r="D20" s="14" t="s">
        <v>44</v>
      </c>
      <c r="E20" s="14" t="s">
        <v>204</v>
      </c>
      <c r="F20" s="14" t="s">
        <v>43</v>
      </c>
      <c r="G20" s="14"/>
      <c r="H20" s="14"/>
      <c r="I20" s="14"/>
      <c r="J20" s="14" t="s">
        <v>204</v>
      </c>
      <c r="K20" s="14"/>
      <c r="L20" s="14"/>
      <c r="M20" s="14"/>
      <c r="N20" s="14"/>
      <c r="O20" s="14"/>
      <c r="P20" s="14"/>
      <c r="Q20" s="14" t="str">
        <f aca="false">IF(COUNTIF(C20:P20,"A")=1,"OK","Fix")</f>
        <v>OK</v>
      </c>
    </row>
    <row r="21" customFormat="false" ht="15" hidden="false" customHeight="false" outlineLevel="0" collapsed="false">
      <c r="A21" s="13" t="s">
        <v>105</v>
      </c>
      <c r="B21" s="13" t="s">
        <v>106</v>
      </c>
      <c r="C21" s="14" t="s">
        <v>205</v>
      </c>
      <c r="D21" s="14" t="s">
        <v>44</v>
      </c>
      <c r="E21" s="14" t="s">
        <v>204</v>
      </c>
      <c r="F21" s="14"/>
      <c r="G21" s="14"/>
      <c r="H21" s="14" t="s">
        <v>204</v>
      </c>
      <c r="I21" s="14"/>
      <c r="J21" s="14" t="s">
        <v>204</v>
      </c>
      <c r="K21" s="14"/>
      <c r="L21" s="14"/>
      <c r="M21" s="14" t="s">
        <v>204</v>
      </c>
      <c r="N21" s="14" t="s">
        <v>204</v>
      </c>
      <c r="O21" s="14"/>
      <c r="P21" s="14"/>
      <c r="Q21" s="14" t="str">
        <f aca="false">IF(COUNTIF(C21:P21,"A")=1,"OK","Fix")</f>
        <v>OK</v>
      </c>
    </row>
    <row r="22" customFormat="false" ht="15" hidden="false" customHeight="false" outlineLevel="0" collapsed="false">
      <c r="A22" s="19" t="s">
        <v>109</v>
      </c>
      <c r="B22" s="19" t="s">
        <v>110</v>
      </c>
      <c r="C22" s="14"/>
      <c r="D22" s="14" t="s">
        <v>205</v>
      </c>
      <c r="E22" s="14" t="s">
        <v>44</v>
      </c>
      <c r="F22" s="14"/>
      <c r="G22" s="14" t="s">
        <v>43</v>
      </c>
      <c r="H22" s="14"/>
      <c r="I22" s="14"/>
      <c r="J22" s="14"/>
      <c r="K22" s="14"/>
      <c r="L22" s="14" t="s">
        <v>204</v>
      </c>
      <c r="M22" s="14" t="s">
        <v>204</v>
      </c>
      <c r="N22" s="14" t="s">
        <v>204</v>
      </c>
      <c r="O22" s="14"/>
      <c r="P22" s="14"/>
      <c r="Q22" s="14" t="str">
        <f aca="false">IF(COUNTIF(C22:P22,"A")=1,"OK","Fix")</f>
        <v>OK</v>
      </c>
    </row>
    <row r="23" customFormat="false" ht="15" hidden="false" customHeight="false" outlineLevel="0" collapsed="false">
      <c r="A23" s="13" t="s">
        <v>112</v>
      </c>
      <c r="B23" s="13" t="s">
        <v>113</v>
      </c>
      <c r="C23" s="14" t="s">
        <v>205</v>
      </c>
      <c r="D23" s="14" t="s">
        <v>44</v>
      </c>
      <c r="E23" s="14" t="s">
        <v>43</v>
      </c>
      <c r="F23" s="14"/>
      <c r="G23" s="14"/>
      <c r="H23" s="14" t="s">
        <v>204</v>
      </c>
      <c r="I23" s="14"/>
      <c r="J23" s="14"/>
      <c r="K23" s="14"/>
      <c r="L23" s="14"/>
      <c r="M23" s="14" t="s">
        <v>204</v>
      </c>
      <c r="N23" s="14"/>
      <c r="O23" s="14"/>
      <c r="P23" s="14"/>
      <c r="Q23" s="14" t="str">
        <f aca="false">IF(COUNTIF(C23:P23,"A")=1,"OK","Fix")</f>
        <v>OK</v>
      </c>
    </row>
    <row r="24" customFormat="false" ht="15" hidden="false" customHeight="false" outlineLevel="0" collapsed="false">
      <c r="A24" s="19" t="s">
        <v>114</v>
      </c>
      <c r="B24" s="19" t="s">
        <v>115</v>
      </c>
      <c r="C24" s="14"/>
      <c r="D24" s="14" t="s">
        <v>205</v>
      </c>
      <c r="E24" s="14" t="s">
        <v>44</v>
      </c>
      <c r="F24" s="14" t="s">
        <v>43</v>
      </c>
      <c r="G24" s="14"/>
      <c r="H24" s="14" t="s">
        <v>204</v>
      </c>
      <c r="I24" s="14" t="s">
        <v>204</v>
      </c>
      <c r="J24" s="14"/>
      <c r="K24" s="14"/>
      <c r="L24" s="14"/>
      <c r="M24" s="14"/>
      <c r="N24" s="14"/>
      <c r="O24" s="14" t="s">
        <v>204</v>
      </c>
      <c r="P24" s="14"/>
      <c r="Q24" s="14" t="str">
        <f aca="false">IF(COUNTIF(C24:P24,"A")=1,"OK","Fix")</f>
        <v>OK</v>
      </c>
    </row>
    <row r="25" customFormat="false" ht="15" hidden="false" customHeight="false" outlineLevel="0" collapsed="false">
      <c r="A25" s="13" t="s">
        <v>116</v>
      </c>
      <c r="B25" s="13" t="s">
        <v>117</v>
      </c>
      <c r="C25" s="14"/>
      <c r="D25" s="14" t="s">
        <v>44</v>
      </c>
      <c r="E25" s="14"/>
      <c r="F25" s="14" t="s">
        <v>204</v>
      </c>
      <c r="G25" s="14"/>
      <c r="H25" s="14" t="s">
        <v>204</v>
      </c>
      <c r="I25" s="14"/>
      <c r="J25" s="14" t="s">
        <v>204</v>
      </c>
      <c r="K25" s="14"/>
      <c r="L25" s="14"/>
      <c r="M25" s="14"/>
      <c r="N25" s="14"/>
      <c r="O25" s="14" t="s">
        <v>43</v>
      </c>
      <c r="P25" s="14"/>
      <c r="Q25" s="14" t="str">
        <f aca="false">IF(COUNTIF(C25:P25,"A")=1,"OK","Fix")</f>
        <v>OK</v>
      </c>
    </row>
    <row r="26" customFormat="false" ht="15" hidden="false" customHeight="false" outlineLevel="0" collapsed="false">
      <c r="A26" s="19" t="s">
        <v>119</v>
      </c>
      <c r="B26" s="19" t="s">
        <v>120</v>
      </c>
      <c r="C26" s="14"/>
      <c r="D26" s="14" t="s">
        <v>205</v>
      </c>
      <c r="E26" s="14" t="s">
        <v>44</v>
      </c>
      <c r="F26" s="14" t="s">
        <v>204</v>
      </c>
      <c r="G26" s="14"/>
      <c r="H26" s="14"/>
      <c r="I26" s="14"/>
      <c r="J26" s="14" t="s">
        <v>43</v>
      </c>
      <c r="K26" s="14"/>
      <c r="L26" s="14"/>
      <c r="M26" s="14"/>
      <c r="N26" s="14" t="s">
        <v>204</v>
      </c>
      <c r="O26" s="14"/>
      <c r="P26" s="14"/>
      <c r="Q26" s="14" t="str">
        <f aca="false">IF(COUNTIF(C26:P26,"A")=1,"OK","Fix")</f>
        <v>OK</v>
      </c>
    </row>
    <row r="27" customFormat="false" ht="15" hidden="false" customHeight="false" outlineLevel="0" collapsed="false">
      <c r="A27" s="13" t="s">
        <v>121</v>
      </c>
      <c r="B27" s="13" t="s">
        <v>122</v>
      </c>
      <c r="C27" s="14"/>
      <c r="D27" s="14" t="s">
        <v>205</v>
      </c>
      <c r="E27" s="14" t="s">
        <v>44</v>
      </c>
      <c r="F27" s="14" t="s">
        <v>204</v>
      </c>
      <c r="G27" s="14" t="s">
        <v>43</v>
      </c>
      <c r="H27" s="14"/>
      <c r="I27" s="14"/>
      <c r="J27" s="14"/>
      <c r="K27" s="14"/>
      <c r="L27" s="14"/>
      <c r="M27" s="14" t="s">
        <v>204</v>
      </c>
      <c r="N27" s="14"/>
      <c r="O27" s="14"/>
      <c r="P27" s="14"/>
      <c r="Q27" s="14" t="str">
        <f aca="false">IF(COUNTIF(C27:P27,"A")=1,"OK","Fix")</f>
        <v>OK</v>
      </c>
    </row>
    <row r="28" customFormat="false" ht="15" hidden="false" customHeight="false" outlineLevel="0" collapsed="false">
      <c r="A28" s="19" t="s">
        <v>123</v>
      </c>
      <c r="B28" s="19" t="s">
        <v>124</v>
      </c>
      <c r="C28" s="14"/>
      <c r="D28" s="14" t="s">
        <v>205</v>
      </c>
      <c r="E28" s="14" t="s">
        <v>44</v>
      </c>
      <c r="F28" s="14" t="s">
        <v>43</v>
      </c>
      <c r="G28" s="14"/>
      <c r="H28" s="14"/>
      <c r="I28" s="14"/>
      <c r="J28" s="14"/>
      <c r="K28" s="14"/>
      <c r="L28" s="14"/>
      <c r="M28" s="14" t="s">
        <v>204</v>
      </c>
      <c r="N28" s="14"/>
      <c r="O28" s="14"/>
      <c r="P28" s="14"/>
      <c r="Q28" s="14" t="str">
        <f aca="false">IF(COUNTIF(C28:P28,"A")=1,"OK","Fix")</f>
        <v>OK</v>
      </c>
    </row>
    <row r="29" customFormat="false" ht="15" hidden="false" customHeight="false" outlineLevel="0" collapsed="false">
      <c r="A29" s="13" t="s">
        <v>125</v>
      </c>
      <c r="B29" s="13" t="s">
        <v>126</v>
      </c>
      <c r="C29" s="14"/>
      <c r="D29" s="14" t="s">
        <v>205</v>
      </c>
      <c r="E29" s="14" t="s">
        <v>44</v>
      </c>
      <c r="F29" s="14" t="s">
        <v>43</v>
      </c>
      <c r="G29" s="14"/>
      <c r="H29" s="14"/>
      <c r="I29" s="14"/>
      <c r="J29" s="14" t="s">
        <v>204</v>
      </c>
      <c r="K29" s="14"/>
      <c r="L29" s="14" t="s">
        <v>204</v>
      </c>
      <c r="M29" s="14"/>
      <c r="N29" s="14"/>
      <c r="O29" s="14"/>
      <c r="P29" s="14"/>
      <c r="Q29" s="14" t="str">
        <f aca="false">IF(COUNTIF(C29:P29,"A")=1,"OK","Fix")</f>
        <v>OK</v>
      </c>
    </row>
    <row r="30" customFormat="false" ht="15" hidden="false" customHeight="false" outlineLevel="0" collapsed="false">
      <c r="A30" s="19" t="s">
        <v>127</v>
      </c>
      <c r="B30" s="19" t="s">
        <v>128</v>
      </c>
      <c r="C30" s="14"/>
      <c r="D30" s="14" t="s">
        <v>205</v>
      </c>
      <c r="E30" s="14" t="s">
        <v>44</v>
      </c>
      <c r="F30" s="14" t="s">
        <v>204</v>
      </c>
      <c r="G30" s="14"/>
      <c r="H30" s="14" t="s">
        <v>204</v>
      </c>
      <c r="I30" s="14"/>
      <c r="J30" s="14"/>
      <c r="K30" s="14"/>
      <c r="L30" s="14" t="s">
        <v>43</v>
      </c>
      <c r="M30" s="14"/>
      <c r="N30" s="14"/>
      <c r="O30" s="14"/>
      <c r="P30" s="14"/>
      <c r="Q30" s="14" t="str">
        <f aca="false">IF(COUNTIF(C30:P30,"A")=1,"OK","Fix")</f>
        <v>OK</v>
      </c>
    </row>
    <row r="31" customFormat="false" ht="15" hidden="false" customHeight="false" outlineLevel="0" collapsed="false">
      <c r="A31" s="13" t="s">
        <v>130</v>
      </c>
      <c r="B31" s="13" t="s">
        <v>131</v>
      </c>
      <c r="C31" s="14"/>
      <c r="D31" s="14" t="s">
        <v>44</v>
      </c>
      <c r="E31" s="14" t="s">
        <v>205</v>
      </c>
      <c r="F31" s="14"/>
      <c r="G31" s="14"/>
      <c r="H31" s="14" t="s">
        <v>43</v>
      </c>
      <c r="I31" s="14" t="s">
        <v>204</v>
      </c>
      <c r="J31" s="14"/>
      <c r="K31" s="14"/>
      <c r="L31" s="14"/>
      <c r="M31" s="14"/>
      <c r="N31" s="14"/>
      <c r="O31" s="14"/>
      <c r="P31" s="14" t="s">
        <v>204</v>
      </c>
      <c r="Q31" s="14" t="str">
        <f aca="false">IF(COUNTIF(C31:P31,"A")=1,"OK","Fix")</f>
        <v>OK</v>
      </c>
    </row>
    <row r="32" customFormat="false" ht="15" hidden="false" customHeight="false" outlineLevel="0" collapsed="false">
      <c r="A32" s="19" t="s">
        <v>132</v>
      </c>
      <c r="B32" s="19" t="s">
        <v>133</v>
      </c>
      <c r="C32" s="14"/>
      <c r="D32" s="14" t="s">
        <v>44</v>
      </c>
      <c r="E32" s="14" t="s">
        <v>205</v>
      </c>
      <c r="F32" s="14" t="s">
        <v>204</v>
      </c>
      <c r="G32" s="14"/>
      <c r="H32" s="14" t="s">
        <v>43</v>
      </c>
      <c r="I32" s="14"/>
      <c r="J32" s="14" t="s">
        <v>204</v>
      </c>
      <c r="K32" s="14"/>
      <c r="L32" s="14"/>
      <c r="M32" s="14"/>
      <c r="N32" s="14"/>
      <c r="O32" s="14"/>
      <c r="P32" s="14"/>
      <c r="Q32" s="14" t="str">
        <f aca="false">IF(COUNTIF(C32:P32,"A")=1,"OK","Fix")</f>
        <v>OK</v>
      </c>
    </row>
    <row r="33" customFormat="false" ht="15" hidden="false" customHeight="false" outlineLevel="0" collapsed="false">
      <c r="A33" s="13" t="s">
        <v>134</v>
      </c>
      <c r="B33" s="13" t="s">
        <v>135</v>
      </c>
      <c r="C33" s="14"/>
      <c r="D33" s="14" t="s">
        <v>44</v>
      </c>
      <c r="E33" s="14" t="s">
        <v>205</v>
      </c>
      <c r="F33" s="14" t="s">
        <v>43</v>
      </c>
      <c r="G33" s="14"/>
      <c r="H33" s="14" t="s">
        <v>204</v>
      </c>
      <c r="I33" s="14" t="s">
        <v>204</v>
      </c>
      <c r="J33" s="14"/>
      <c r="K33" s="14"/>
      <c r="L33" s="14"/>
      <c r="M33" s="14"/>
      <c r="N33" s="14"/>
      <c r="O33" s="14"/>
      <c r="P33" s="14"/>
      <c r="Q33" s="14" t="str">
        <f aca="false">IF(COUNTIF(C33:P33,"A")=1,"OK","Fix")</f>
        <v>OK</v>
      </c>
    </row>
    <row r="34" customFormat="false" ht="15" hidden="false" customHeight="false" outlineLevel="0" collapsed="false">
      <c r="A34" s="19" t="s">
        <v>140</v>
      </c>
      <c r="B34" s="19" t="s">
        <v>142</v>
      </c>
      <c r="C34" s="14"/>
      <c r="D34" s="14" t="s">
        <v>205</v>
      </c>
      <c r="E34" s="14" t="s">
        <v>44</v>
      </c>
      <c r="F34" s="14" t="s">
        <v>43</v>
      </c>
      <c r="G34" s="14"/>
      <c r="H34" s="14" t="s">
        <v>204</v>
      </c>
      <c r="I34" s="14"/>
      <c r="J34" s="14" t="s">
        <v>204</v>
      </c>
      <c r="K34" s="14"/>
      <c r="L34" s="14" t="s">
        <v>204</v>
      </c>
      <c r="M34" s="14"/>
      <c r="N34" s="14"/>
      <c r="O34" s="14"/>
      <c r="P34" s="14"/>
      <c r="Q34" s="14" t="str">
        <f aca="false">IF(COUNTIF(C34:P34,"A")=1,"OK","Fix")</f>
        <v>OK</v>
      </c>
    </row>
    <row r="35" customFormat="false" ht="15" hidden="false" customHeight="false" outlineLevel="0" collapsed="false">
      <c r="A35" s="13" t="s">
        <v>143</v>
      </c>
      <c r="B35" s="13" t="s">
        <v>144</v>
      </c>
      <c r="C35" s="14"/>
      <c r="D35" s="14" t="s">
        <v>205</v>
      </c>
      <c r="E35" s="14" t="s">
        <v>44</v>
      </c>
      <c r="F35" s="14" t="s">
        <v>43</v>
      </c>
      <c r="G35" s="14"/>
      <c r="H35" s="14" t="s">
        <v>204</v>
      </c>
      <c r="I35" s="14"/>
      <c r="J35" s="14" t="s">
        <v>204</v>
      </c>
      <c r="K35" s="14"/>
      <c r="L35" s="14"/>
      <c r="M35" s="14" t="s">
        <v>204</v>
      </c>
      <c r="N35" s="14"/>
      <c r="O35" s="14"/>
      <c r="P35" s="14"/>
      <c r="Q35" s="14" t="str">
        <f aca="false">IF(COUNTIF(C35:P35,"A")=1,"OK","Fix")</f>
        <v>OK</v>
      </c>
    </row>
    <row r="36" customFormat="false" ht="15" hidden="false" customHeight="false" outlineLevel="0" collapsed="false">
      <c r="A36" s="19" t="s">
        <v>145</v>
      </c>
      <c r="B36" s="19" t="s">
        <v>146</v>
      </c>
      <c r="C36" s="14"/>
      <c r="D36" s="14" t="s">
        <v>205</v>
      </c>
      <c r="E36" s="14" t="s">
        <v>44</v>
      </c>
      <c r="F36" s="14" t="s">
        <v>43</v>
      </c>
      <c r="G36" s="14"/>
      <c r="H36" s="14" t="s">
        <v>204</v>
      </c>
      <c r="I36" s="14"/>
      <c r="J36" s="14"/>
      <c r="K36" s="14"/>
      <c r="L36" s="14" t="s">
        <v>204</v>
      </c>
      <c r="M36" s="14" t="s">
        <v>204</v>
      </c>
      <c r="N36" s="14"/>
      <c r="O36" s="14"/>
      <c r="P36" s="14"/>
      <c r="Q36" s="14" t="str">
        <f aca="false">IF(COUNTIF(C36:P36,"A")=1,"OK","Fix")</f>
        <v>OK</v>
      </c>
    </row>
    <row r="37" customFormat="false" ht="15" hidden="false" customHeight="false" outlineLevel="0" collapsed="false">
      <c r="A37" s="13" t="s">
        <v>147</v>
      </c>
      <c r="B37" s="13" t="s">
        <v>148</v>
      </c>
      <c r="C37" s="14"/>
      <c r="D37" s="14" t="s">
        <v>205</v>
      </c>
      <c r="E37" s="14" t="s">
        <v>44</v>
      </c>
      <c r="F37" s="14" t="s">
        <v>43</v>
      </c>
      <c r="G37" s="14"/>
      <c r="H37" s="14" t="s">
        <v>204</v>
      </c>
      <c r="I37" s="14"/>
      <c r="J37" s="14" t="s">
        <v>204</v>
      </c>
      <c r="K37" s="14"/>
      <c r="L37" s="14"/>
      <c r="M37" s="14"/>
      <c r="N37" s="14"/>
      <c r="O37" s="14"/>
      <c r="P37" s="14"/>
      <c r="Q37" s="14" t="str">
        <f aca="false">IF(COUNTIF(C37:P37,"A")=1,"OK","Fix")</f>
        <v>OK</v>
      </c>
    </row>
    <row r="38" customFormat="false" ht="15" hidden="false" customHeight="false" outlineLevel="0" collapsed="false">
      <c r="A38" s="19" t="s">
        <v>149</v>
      </c>
      <c r="B38" s="19" t="s">
        <v>150</v>
      </c>
      <c r="C38" s="14"/>
      <c r="D38" s="14" t="s">
        <v>205</v>
      </c>
      <c r="E38" s="14" t="s">
        <v>44</v>
      </c>
      <c r="F38" s="14" t="s">
        <v>204</v>
      </c>
      <c r="G38" s="14"/>
      <c r="H38" s="14" t="s">
        <v>204</v>
      </c>
      <c r="I38" s="14"/>
      <c r="J38" s="14" t="s">
        <v>204</v>
      </c>
      <c r="K38" s="14" t="s">
        <v>43</v>
      </c>
      <c r="L38" s="14"/>
      <c r="M38" s="14"/>
      <c r="N38" s="14" t="s">
        <v>204</v>
      </c>
      <c r="O38" s="14"/>
      <c r="P38" s="14"/>
      <c r="Q38" s="14" t="str">
        <f aca="false">IF(COUNTIF(C38:P38,"A")=1,"OK","Fix")</f>
        <v>OK</v>
      </c>
    </row>
    <row r="39" customFormat="false" ht="15" hidden="false" customHeight="false" outlineLevel="0" collapsed="false">
      <c r="A39" s="13" t="s">
        <v>151</v>
      </c>
      <c r="B39" s="13" t="s">
        <v>152</v>
      </c>
      <c r="C39" s="14" t="s">
        <v>205</v>
      </c>
      <c r="D39" s="14" t="s">
        <v>44</v>
      </c>
      <c r="E39" s="14" t="s">
        <v>43</v>
      </c>
      <c r="F39" s="14" t="s">
        <v>204</v>
      </c>
      <c r="G39" s="14"/>
      <c r="H39" s="14" t="s">
        <v>204</v>
      </c>
      <c r="I39" s="14"/>
      <c r="J39" s="14"/>
      <c r="K39" s="14"/>
      <c r="L39" s="14"/>
      <c r="M39" s="14"/>
      <c r="N39" s="14"/>
      <c r="O39" s="14"/>
      <c r="P39" s="14"/>
      <c r="Q39" s="14" t="str">
        <f aca="false">IF(COUNTIF(C39:P39,"A")=1,"OK","Fix")</f>
        <v>OK</v>
      </c>
    </row>
    <row r="40" customFormat="false" ht="15" hidden="false" customHeight="false" outlineLevel="0" collapsed="false">
      <c r="A40" s="19" t="s">
        <v>155</v>
      </c>
      <c r="B40" s="19" t="s">
        <v>157</v>
      </c>
      <c r="C40" s="14"/>
      <c r="D40" s="14" t="s">
        <v>205</v>
      </c>
      <c r="E40" s="14" t="s">
        <v>44</v>
      </c>
      <c r="F40" s="14" t="s">
        <v>43</v>
      </c>
      <c r="G40" s="14"/>
      <c r="H40" s="14" t="s">
        <v>204</v>
      </c>
      <c r="I40" s="14"/>
      <c r="J40" s="14"/>
      <c r="K40" s="14" t="s">
        <v>204</v>
      </c>
      <c r="L40" s="14"/>
      <c r="M40" s="14"/>
      <c r="N40" s="14"/>
      <c r="O40" s="14"/>
      <c r="P40" s="14" t="s">
        <v>204</v>
      </c>
      <c r="Q40" s="14" t="str">
        <f aca="false">IF(COUNTIF(C40:P40,"A")=1,"OK","Fix")</f>
        <v>OK</v>
      </c>
    </row>
    <row r="41" customFormat="false" ht="15" hidden="false" customHeight="false" outlineLevel="0" collapsed="false">
      <c r="A41" s="13" t="s">
        <v>158</v>
      </c>
      <c r="B41" s="13" t="s">
        <v>159</v>
      </c>
      <c r="C41" s="14" t="s">
        <v>205</v>
      </c>
      <c r="D41" s="14" t="s">
        <v>44</v>
      </c>
      <c r="E41" s="14" t="s">
        <v>43</v>
      </c>
      <c r="F41" s="14" t="s">
        <v>204</v>
      </c>
      <c r="G41" s="14"/>
      <c r="H41" s="14" t="s">
        <v>204</v>
      </c>
      <c r="I41" s="14"/>
      <c r="J41" s="14"/>
      <c r="K41" s="14"/>
      <c r="L41" s="14"/>
      <c r="M41" s="14"/>
      <c r="N41" s="14"/>
      <c r="O41" s="14"/>
      <c r="P41" s="14"/>
      <c r="Q41" s="14" t="str">
        <f aca="false">IF(COUNTIF(C41:P41,"A")=1,"OK","Fix")</f>
        <v>OK</v>
      </c>
    </row>
    <row r="42" customFormat="false" ht="23.85" hidden="false" customHeight="false" outlineLevel="0" collapsed="false">
      <c r="A42" s="19" t="s">
        <v>164</v>
      </c>
      <c r="B42" s="19" t="s">
        <v>166</v>
      </c>
      <c r="C42" s="14"/>
      <c r="D42" s="14" t="s">
        <v>44</v>
      </c>
      <c r="E42" s="14" t="s">
        <v>205</v>
      </c>
      <c r="F42" s="14"/>
      <c r="G42" s="14"/>
      <c r="H42" s="14" t="s">
        <v>43</v>
      </c>
      <c r="I42" s="14" t="s">
        <v>204</v>
      </c>
      <c r="J42" s="14" t="s">
        <v>204</v>
      </c>
      <c r="K42" s="14"/>
      <c r="L42" s="14"/>
      <c r="M42" s="14"/>
      <c r="N42" s="14"/>
      <c r="O42" s="14"/>
      <c r="P42" s="14"/>
      <c r="Q42" s="14" t="str">
        <f aca="false">IF(COUNTIF(C42:P42,"A")=1,"OK","Fix")</f>
        <v>OK</v>
      </c>
    </row>
    <row r="43" customFormat="false" ht="15" hidden="false" customHeight="false" outlineLevel="0" collapsed="false">
      <c r="A43" s="13" t="s">
        <v>167</v>
      </c>
      <c r="B43" s="13" t="s">
        <v>168</v>
      </c>
      <c r="C43" s="14" t="s">
        <v>205</v>
      </c>
      <c r="D43" s="14" t="s">
        <v>44</v>
      </c>
      <c r="E43" s="14"/>
      <c r="F43" s="14"/>
      <c r="G43" s="14"/>
      <c r="H43" s="14" t="s">
        <v>43</v>
      </c>
      <c r="I43" s="14" t="s">
        <v>204</v>
      </c>
      <c r="J43" s="14"/>
      <c r="K43" s="14"/>
      <c r="L43" s="14"/>
      <c r="M43" s="14"/>
      <c r="N43" s="14"/>
      <c r="O43" s="14"/>
      <c r="P43" s="14"/>
      <c r="Q43" s="14" t="str">
        <f aca="false">IF(COUNTIF(C43:P43,"A")=1,"OK","Fix")</f>
        <v>OK</v>
      </c>
    </row>
    <row r="44" customFormat="false" ht="15" hidden="false" customHeight="false" outlineLevel="0" collapsed="false">
      <c r="A44" s="19" t="s">
        <v>172</v>
      </c>
      <c r="B44" s="19" t="s">
        <v>173</v>
      </c>
      <c r="C44" s="14"/>
      <c r="D44" s="14" t="s">
        <v>44</v>
      </c>
      <c r="E44" s="14" t="s">
        <v>205</v>
      </c>
      <c r="F44" s="14" t="s">
        <v>43</v>
      </c>
      <c r="G44" s="14"/>
      <c r="H44" s="14" t="s">
        <v>204</v>
      </c>
      <c r="I44" s="14"/>
      <c r="J44" s="14" t="s">
        <v>204</v>
      </c>
      <c r="K44" s="14"/>
      <c r="L44" s="14"/>
      <c r="M44" s="14"/>
      <c r="N44" s="14"/>
      <c r="O44" s="14"/>
      <c r="P44" s="14" t="s">
        <v>204</v>
      </c>
      <c r="Q44" s="14" t="str">
        <f aca="false">IF(COUNTIF(C44:P44,"A")=1,"OK","Fix")</f>
        <v>OK</v>
      </c>
    </row>
    <row r="45" customFormat="false" ht="15" hidden="false" customHeight="false" outlineLevel="0" collapsed="false">
      <c r="A45" s="13" t="s">
        <v>174</v>
      </c>
      <c r="B45" s="13" t="s">
        <v>175</v>
      </c>
      <c r="C45" s="14" t="s">
        <v>205</v>
      </c>
      <c r="D45" s="14" t="s">
        <v>44</v>
      </c>
      <c r="E45" s="14" t="s">
        <v>204</v>
      </c>
      <c r="F45" s="14"/>
      <c r="G45" s="14"/>
      <c r="H45" s="14" t="s">
        <v>43</v>
      </c>
      <c r="I45" s="14"/>
      <c r="J45" s="14" t="s">
        <v>204</v>
      </c>
      <c r="K45" s="14"/>
      <c r="L45" s="14"/>
      <c r="M45" s="14"/>
      <c r="N45" s="14"/>
      <c r="O45" s="14"/>
      <c r="P45" s="14"/>
      <c r="Q45" s="14" t="str">
        <f aca="false">IF(COUNTIF(C45:P45,"A")=1,"OK","Fix")</f>
        <v>OK</v>
      </c>
    </row>
    <row r="46" customFormat="false" ht="15" hidden="false" customHeight="false" outlineLevel="0" collapsed="false">
      <c r="A46" s="19" t="s">
        <v>179</v>
      </c>
      <c r="B46" s="19" t="s">
        <v>180</v>
      </c>
      <c r="C46" s="14" t="s">
        <v>205</v>
      </c>
      <c r="D46" s="14" t="s">
        <v>44</v>
      </c>
      <c r="E46" s="14"/>
      <c r="F46" s="14"/>
      <c r="G46" s="14"/>
      <c r="H46" s="14" t="s">
        <v>43</v>
      </c>
      <c r="I46" s="14"/>
      <c r="J46" s="14" t="s">
        <v>204</v>
      </c>
      <c r="K46" s="14" t="s">
        <v>204</v>
      </c>
      <c r="L46" s="14"/>
      <c r="M46" s="14" t="s">
        <v>204</v>
      </c>
      <c r="N46" s="14"/>
      <c r="O46" s="14"/>
      <c r="P46" s="14"/>
      <c r="Q46" s="14" t="str">
        <f aca="false">IF(COUNTIF(C46:P46,"A")=1,"OK","Fix")</f>
        <v>OK</v>
      </c>
    </row>
    <row r="47" customFormat="false" ht="15" hidden="false" customHeight="false" outlineLevel="0" collapsed="false">
      <c r="A47" s="13" t="s">
        <v>181</v>
      </c>
      <c r="B47" s="13" t="s">
        <v>182</v>
      </c>
      <c r="C47" s="14" t="s">
        <v>205</v>
      </c>
      <c r="D47" s="14" t="s">
        <v>44</v>
      </c>
      <c r="E47" s="14"/>
      <c r="F47" s="14"/>
      <c r="G47" s="14"/>
      <c r="H47" s="14" t="s">
        <v>204</v>
      </c>
      <c r="I47" s="14"/>
      <c r="J47" s="14"/>
      <c r="K47" s="14"/>
      <c r="L47" s="14" t="s">
        <v>204</v>
      </c>
      <c r="M47" s="14" t="s">
        <v>43</v>
      </c>
      <c r="N47" s="14" t="s">
        <v>204</v>
      </c>
      <c r="O47" s="14"/>
      <c r="P47" s="14"/>
      <c r="Q47" s="14" t="str">
        <f aca="false">IF(COUNTIF(C47:P47,"A")=1,"OK","Fix")</f>
        <v>OK</v>
      </c>
    </row>
    <row r="48" customFormat="false" ht="15" hidden="false" customHeight="false" outlineLevel="0" collapsed="false">
      <c r="A48" s="19" t="s">
        <v>184</v>
      </c>
      <c r="B48" s="19" t="s">
        <v>185</v>
      </c>
      <c r="C48" s="14" t="s">
        <v>44</v>
      </c>
      <c r="D48" s="14" t="s">
        <v>43</v>
      </c>
      <c r="E48" s="14" t="s">
        <v>204</v>
      </c>
      <c r="F48" s="14" t="s">
        <v>204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 t="str">
        <f aca="false">IF(COUNTIF(C48:P48,"A")=1,"OK","Fix")</f>
        <v>OK</v>
      </c>
    </row>
    <row r="50" customFormat="false" ht="15" hidden="false" customHeight="false" outlineLevel="0" collapsed="false">
      <c r="B50" s="2" t="s">
        <v>206</v>
      </c>
    </row>
  </sheetData>
  <conditionalFormatting sqref="C5:P48">
    <cfRule type="cellIs" priority="2" operator="equal" aboveAverage="0" equalAverage="0" bottom="0" percent="0" rank="0" text="" dxfId="6">
      <formula>"A"</formula>
    </cfRule>
    <cfRule type="cellIs" priority="3" operator="equal" aboveAverage="0" equalAverage="0" bottom="0" percent="0" rank="0" text="" dxfId="7">
      <formula>"R"</formula>
    </cfRule>
    <cfRule type="cellIs" priority="4" operator="equal" aboveAverage="0" equalAverage="0" bottom="0" percent="0" rank="0" text="" dxfId="8">
      <formula>"C"</formula>
    </cfRule>
    <cfRule type="cellIs" priority="5" operator="equal" aboveAverage="0" equalAverage="0" bottom="0" percent="0" rank="0" text="" dxfId="9">
      <formula>"I"</formula>
    </cfRule>
  </conditionalFormatting>
  <conditionalFormatting sqref="Q5:Q48">
    <cfRule type="cellIs" priority="6" operator="equal" aboveAverage="0" equalAverage="0" bottom="0" percent="0" rank="0" text="" dxfId="5">
      <formula>"Fix"</formula>
    </cfRule>
  </conditionalFormatting>
  <dataValidations count="1">
    <dataValidation allowBlank="true" errorStyle="stop" operator="between" showDropDown="false" showErrorMessage="false" showInputMessage="false" sqref="C5:P48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5659"/>
    <pageSetUpPr fitToPage="true"/>
  </sheetPr>
  <dimension ref="A1:R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34"/>
    <col collapsed="false" customWidth="true" hidden="false" outlineLevel="0" max="14" min="14" style="0" width="26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13"/>
  </cols>
  <sheetData>
    <row r="1" customFormat="false" ht="19.7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31.5" hidden="false" customHeight="true" outlineLevel="0" collapsed="false">
      <c r="A4" s="8" t="s">
        <v>40</v>
      </c>
      <c r="B4" s="8" t="s">
        <v>209</v>
      </c>
      <c r="C4" s="8" t="s">
        <v>210</v>
      </c>
      <c r="D4" s="8" t="s">
        <v>211</v>
      </c>
      <c r="E4" s="8" t="s">
        <v>212</v>
      </c>
      <c r="F4" s="8" t="s">
        <v>213</v>
      </c>
      <c r="G4" s="8" t="s">
        <v>214</v>
      </c>
      <c r="H4" s="8" t="s">
        <v>215</v>
      </c>
      <c r="I4" s="8" t="s">
        <v>216</v>
      </c>
      <c r="J4" s="8" t="s">
        <v>217</v>
      </c>
      <c r="K4" s="8" t="s">
        <v>218</v>
      </c>
      <c r="L4" s="8" t="s">
        <v>219</v>
      </c>
      <c r="M4" s="8" t="s">
        <v>220</v>
      </c>
      <c r="N4" s="8" t="s">
        <v>221</v>
      </c>
      <c r="O4" s="8" t="s">
        <v>222</v>
      </c>
      <c r="P4" s="8" t="s">
        <v>223</v>
      </c>
      <c r="Q4" s="8" t="s">
        <v>224</v>
      </c>
      <c r="R4" s="8" t="s">
        <v>49</v>
      </c>
    </row>
    <row r="5" customFormat="false" ht="15" hidden="false" customHeight="false" outlineLevel="0" collapsed="false">
      <c r="A5" s="13" t="s">
        <v>225</v>
      </c>
      <c r="B5" s="13" t="s">
        <v>226</v>
      </c>
      <c r="C5" s="13" t="s">
        <v>227</v>
      </c>
      <c r="D5" s="13" t="s">
        <v>228</v>
      </c>
      <c r="E5" s="13" t="s">
        <v>229</v>
      </c>
      <c r="F5" s="13" t="s">
        <v>230</v>
      </c>
      <c r="G5" s="16" t="n">
        <v>3</v>
      </c>
      <c r="H5" s="16" t="n">
        <v>5</v>
      </c>
      <c r="I5" s="16" t="n">
        <v>5</v>
      </c>
      <c r="J5" s="14" t="n">
        <f aca="false">IF(COUNT(G5:I5)=3,G5*H5*I5,"")</f>
        <v>75</v>
      </c>
      <c r="K5" s="23" t="s">
        <v>231</v>
      </c>
      <c r="L5" s="24" t="str">
        <f aca="false">IF(J5="","",IF(OR(K5&lt;&gt;"",J5&gt;=48),"Tier 1",IF(J5&gt;=20,"Tier 2","Tier 3")))</f>
        <v>Tier 1</v>
      </c>
      <c r="M5" s="13" t="s">
        <v>232</v>
      </c>
      <c r="N5" s="23" t="s">
        <v>233</v>
      </c>
      <c r="O5" s="14" t="s">
        <v>234</v>
      </c>
      <c r="P5" s="16" t="s">
        <v>235</v>
      </c>
      <c r="Q5" s="23"/>
      <c r="R5" s="16" t="s">
        <v>236</v>
      </c>
    </row>
    <row r="6" customFormat="false" ht="15" hidden="false" customHeight="false" outlineLevel="0" collapsed="false">
      <c r="A6" s="19" t="s">
        <v>237</v>
      </c>
      <c r="B6" s="19" t="s">
        <v>226</v>
      </c>
      <c r="C6" s="19" t="s">
        <v>238</v>
      </c>
      <c r="D6" s="19" t="s">
        <v>228</v>
      </c>
      <c r="E6" s="19" t="s">
        <v>239</v>
      </c>
      <c r="F6" s="19" t="s">
        <v>230</v>
      </c>
      <c r="G6" s="16" t="n">
        <v>3</v>
      </c>
      <c r="H6" s="16" t="n">
        <v>4</v>
      </c>
      <c r="I6" s="16" t="n">
        <v>5</v>
      </c>
      <c r="J6" s="20" t="n">
        <f aca="false">IF(COUNT(G6:I6)=3,G6*H6*I6,"")</f>
        <v>60</v>
      </c>
      <c r="K6" s="23"/>
      <c r="L6" s="25" t="str">
        <f aca="false">IF(J6="","",IF(OR(K6&lt;&gt;"",J6&gt;=48),"Tier 1",IF(J6&gt;=20,"Tier 2","Tier 3")))</f>
        <v>Tier 1</v>
      </c>
      <c r="M6" s="19" t="s">
        <v>232</v>
      </c>
      <c r="N6" s="23" t="s">
        <v>233</v>
      </c>
      <c r="O6" s="20" t="s">
        <v>234</v>
      </c>
      <c r="P6" s="16" t="s">
        <v>235</v>
      </c>
      <c r="Q6" s="23"/>
      <c r="R6" s="16" t="s">
        <v>236</v>
      </c>
    </row>
    <row r="7" customFormat="false" ht="15" hidden="false" customHeight="false" outlineLevel="0" collapsed="false">
      <c r="A7" s="13" t="s">
        <v>240</v>
      </c>
      <c r="B7" s="13" t="s">
        <v>226</v>
      </c>
      <c r="C7" s="13" t="s">
        <v>241</v>
      </c>
      <c r="D7" s="13" t="s">
        <v>242</v>
      </c>
      <c r="E7" s="13" t="s">
        <v>243</v>
      </c>
      <c r="F7" s="13" t="s">
        <v>244</v>
      </c>
      <c r="G7" s="16" t="n">
        <v>4</v>
      </c>
      <c r="H7" s="16" t="n">
        <v>5</v>
      </c>
      <c r="I7" s="16" t="n">
        <v>4</v>
      </c>
      <c r="J7" s="14" t="n">
        <f aca="false">IF(COUNT(G7:I7)=3,G7*H7*I7,"")</f>
        <v>80</v>
      </c>
      <c r="K7" s="23"/>
      <c r="L7" s="24" t="str">
        <f aca="false">IF(J7="","",IF(OR(K7&lt;&gt;"",J7&gt;=48),"Tier 1",IF(J7&gt;=20,"Tier 2","Tier 3")))</f>
        <v>Tier 1</v>
      </c>
      <c r="M7" s="13" t="s">
        <v>245</v>
      </c>
      <c r="N7" s="23" t="s">
        <v>246</v>
      </c>
      <c r="O7" s="14" t="s">
        <v>247</v>
      </c>
      <c r="P7" s="16" t="s">
        <v>235</v>
      </c>
      <c r="Q7" s="23"/>
      <c r="R7" s="16" t="s">
        <v>236</v>
      </c>
    </row>
    <row r="8" customFormat="false" ht="15" hidden="false" customHeight="false" outlineLevel="0" collapsed="false">
      <c r="A8" s="19" t="s">
        <v>248</v>
      </c>
      <c r="B8" s="19" t="s">
        <v>226</v>
      </c>
      <c r="C8" s="19" t="s">
        <v>249</v>
      </c>
      <c r="D8" s="19" t="s">
        <v>228</v>
      </c>
      <c r="E8" s="19" t="s">
        <v>250</v>
      </c>
      <c r="F8" s="19" t="s">
        <v>230</v>
      </c>
      <c r="G8" s="16" t="n">
        <v>3</v>
      </c>
      <c r="H8" s="16" t="n">
        <v>4</v>
      </c>
      <c r="I8" s="16" t="n">
        <v>3</v>
      </c>
      <c r="J8" s="20" t="n">
        <f aca="false">IF(COUNT(G8:I8)=3,G8*H8*I8,"")</f>
        <v>36</v>
      </c>
      <c r="K8" s="23" t="s">
        <v>231</v>
      </c>
      <c r="L8" s="25" t="str">
        <f aca="false">IF(J8="","",IF(OR(K8&lt;&gt;"",J8&gt;=48),"Tier 1",IF(J8&gt;=20,"Tier 2","Tier 3")))</f>
        <v>Tier 1</v>
      </c>
      <c r="M8" s="19" t="s">
        <v>251</v>
      </c>
      <c r="N8" s="23" t="s">
        <v>252</v>
      </c>
      <c r="O8" s="20" t="s">
        <v>234</v>
      </c>
      <c r="P8" s="16" t="s">
        <v>253</v>
      </c>
      <c r="Q8" s="23"/>
      <c r="R8" s="16" t="s">
        <v>236</v>
      </c>
    </row>
    <row r="9" customFormat="false" ht="15" hidden="false" customHeight="false" outlineLevel="0" collapsed="false">
      <c r="A9" s="13" t="s">
        <v>254</v>
      </c>
      <c r="B9" s="13" t="s">
        <v>226</v>
      </c>
      <c r="C9" s="13" t="s">
        <v>255</v>
      </c>
      <c r="D9" s="13" t="s">
        <v>256</v>
      </c>
      <c r="E9" s="13" t="s">
        <v>257</v>
      </c>
      <c r="F9" s="13" t="s">
        <v>244</v>
      </c>
      <c r="G9" s="16" t="n">
        <v>5</v>
      </c>
      <c r="H9" s="16" t="n">
        <v>5</v>
      </c>
      <c r="I9" s="16" t="n">
        <v>4</v>
      </c>
      <c r="J9" s="14" t="n">
        <f aca="false">IF(COUNT(G9:I9)=3,G9*H9*I9,"")</f>
        <v>100</v>
      </c>
      <c r="K9" s="23" t="s">
        <v>231</v>
      </c>
      <c r="L9" s="24" t="str">
        <f aca="false">IF(J9="","",IF(OR(K9&lt;&gt;"",J9&gt;=48),"Tier 1",IF(J9&gt;=20,"Tier 2","Tier 3")))</f>
        <v>Tier 1</v>
      </c>
      <c r="M9" s="13" t="s">
        <v>258</v>
      </c>
      <c r="N9" s="23" t="s">
        <v>259</v>
      </c>
      <c r="O9" s="14" t="s">
        <v>260</v>
      </c>
      <c r="P9" s="16" t="s">
        <v>235</v>
      </c>
      <c r="Q9" s="23"/>
      <c r="R9" s="16" t="s">
        <v>236</v>
      </c>
    </row>
    <row r="10" customFormat="false" ht="15" hidden="false" customHeight="false" outlineLevel="0" collapsed="false">
      <c r="A10" s="19" t="s">
        <v>261</v>
      </c>
      <c r="B10" s="19" t="s">
        <v>226</v>
      </c>
      <c r="C10" s="19" t="s">
        <v>262</v>
      </c>
      <c r="D10" s="19" t="s">
        <v>263</v>
      </c>
      <c r="E10" s="19" t="s">
        <v>264</v>
      </c>
      <c r="F10" s="19" t="s">
        <v>244</v>
      </c>
      <c r="G10" s="16" t="n">
        <v>5</v>
      </c>
      <c r="H10" s="16" t="n">
        <v>4</v>
      </c>
      <c r="I10" s="16" t="n">
        <v>3</v>
      </c>
      <c r="J10" s="20" t="n">
        <f aca="false">IF(COUNT(G10:I10)=3,G10*H10*I10,"")</f>
        <v>60</v>
      </c>
      <c r="K10" s="23"/>
      <c r="L10" s="25" t="str">
        <f aca="false">IF(J10="","",IF(OR(K10&lt;&gt;"",J10&gt;=48),"Tier 1",IF(J10&gt;=20,"Tier 2","Tier 3")))</f>
        <v>Tier 1</v>
      </c>
      <c r="M10" s="19" t="s">
        <v>265</v>
      </c>
      <c r="N10" s="23" t="s">
        <v>266</v>
      </c>
      <c r="O10" s="20" t="s">
        <v>247</v>
      </c>
      <c r="P10" s="16" t="s">
        <v>235</v>
      </c>
      <c r="Q10" s="23"/>
      <c r="R10" s="16" t="s">
        <v>236</v>
      </c>
    </row>
    <row r="11" customFormat="false" ht="15" hidden="false" customHeight="false" outlineLevel="0" collapsed="false">
      <c r="A11" s="13" t="s">
        <v>267</v>
      </c>
      <c r="B11" s="13" t="s">
        <v>226</v>
      </c>
      <c r="C11" s="13" t="s">
        <v>268</v>
      </c>
      <c r="D11" s="13" t="s">
        <v>269</v>
      </c>
      <c r="E11" s="13" t="s">
        <v>270</v>
      </c>
      <c r="F11" s="13" t="s">
        <v>244</v>
      </c>
      <c r="G11" s="16" t="n">
        <v>4</v>
      </c>
      <c r="H11" s="16" t="n">
        <v>5</v>
      </c>
      <c r="I11" s="16" t="n">
        <v>4</v>
      </c>
      <c r="J11" s="14" t="n">
        <f aca="false">IF(COUNT(G11:I11)=3,G11*H11*I11,"")</f>
        <v>80</v>
      </c>
      <c r="K11" s="23" t="s">
        <v>271</v>
      </c>
      <c r="L11" s="24" t="str">
        <f aca="false">IF(J11="","",IF(OR(K11&lt;&gt;"",J11&gt;=48),"Tier 1",IF(J11&gt;=20,"Tier 2","Tier 3")))</f>
        <v>Tier 1</v>
      </c>
      <c r="M11" s="13" t="s">
        <v>272</v>
      </c>
      <c r="N11" s="23" t="s">
        <v>273</v>
      </c>
      <c r="O11" s="14" t="s">
        <v>247</v>
      </c>
      <c r="P11" s="16" t="s">
        <v>235</v>
      </c>
      <c r="Q11" s="23"/>
      <c r="R11" s="16" t="s">
        <v>236</v>
      </c>
    </row>
    <row r="12" customFormat="false" ht="15" hidden="false" customHeight="false" outlineLevel="0" collapsed="false">
      <c r="A12" s="19" t="s">
        <v>274</v>
      </c>
      <c r="B12" s="19" t="s">
        <v>226</v>
      </c>
      <c r="C12" s="19" t="s">
        <v>275</v>
      </c>
      <c r="D12" s="19" t="s">
        <v>276</v>
      </c>
      <c r="E12" s="19" t="s">
        <v>277</v>
      </c>
      <c r="F12" s="19" t="s">
        <v>230</v>
      </c>
      <c r="G12" s="16" t="n">
        <v>3</v>
      </c>
      <c r="H12" s="16" t="n">
        <v>4</v>
      </c>
      <c r="I12" s="16" t="n">
        <v>4</v>
      </c>
      <c r="J12" s="20" t="n">
        <f aca="false">IF(COUNT(G12:I12)=3,G12*H12*I12,"")</f>
        <v>48</v>
      </c>
      <c r="K12" s="23"/>
      <c r="L12" s="25" t="str">
        <f aca="false">IF(J12="","",IF(OR(K12&lt;&gt;"",J12&gt;=48),"Tier 1",IF(J12&gt;=20,"Tier 2","Tier 3")))</f>
        <v>Tier 1</v>
      </c>
      <c r="M12" s="19" t="s">
        <v>278</v>
      </c>
      <c r="N12" s="23" t="s">
        <v>279</v>
      </c>
      <c r="O12" s="20" t="s">
        <v>260</v>
      </c>
      <c r="P12" s="16" t="s">
        <v>253</v>
      </c>
      <c r="Q12" s="23"/>
      <c r="R12" s="16" t="s">
        <v>236</v>
      </c>
    </row>
    <row r="13" customFormat="false" ht="15" hidden="false" customHeight="false" outlineLevel="0" collapsed="false">
      <c r="A13" s="13" t="s">
        <v>280</v>
      </c>
      <c r="B13" s="13" t="s">
        <v>281</v>
      </c>
      <c r="C13" s="13" t="s">
        <v>282</v>
      </c>
      <c r="D13" s="13" t="s">
        <v>283</v>
      </c>
      <c r="E13" s="13" t="s">
        <v>284</v>
      </c>
      <c r="F13" s="13" t="s">
        <v>244</v>
      </c>
      <c r="G13" s="16" t="n">
        <v>5</v>
      </c>
      <c r="H13" s="16" t="n">
        <v>5</v>
      </c>
      <c r="I13" s="16" t="n">
        <v>5</v>
      </c>
      <c r="J13" s="14" t="n">
        <f aca="false">IF(COUNT(G13:I13)=3,G13*H13*I13,"")</f>
        <v>125</v>
      </c>
      <c r="K13" s="23" t="s">
        <v>285</v>
      </c>
      <c r="L13" s="24" t="str">
        <f aca="false">IF(J13="","",IF(OR(K13&lt;&gt;"",J13&gt;=48),"Tier 1",IF(J13&gt;=20,"Tier 2","Tier 3")))</f>
        <v>Tier 1</v>
      </c>
      <c r="M13" s="13" t="s">
        <v>286</v>
      </c>
      <c r="N13" s="23" t="s">
        <v>287</v>
      </c>
      <c r="O13" s="14" t="s">
        <v>247</v>
      </c>
      <c r="P13" s="16" t="s">
        <v>253</v>
      </c>
      <c r="Q13" s="23"/>
      <c r="R13" s="16" t="s">
        <v>236</v>
      </c>
    </row>
    <row r="14" customFormat="false" ht="15" hidden="false" customHeight="false" outlineLevel="0" collapsed="false">
      <c r="A14" s="19" t="s">
        <v>288</v>
      </c>
      <c r="B14" s="19" t="s">
        <v>281</v>
      </c>
      <c r="C14" s="19" t="s">
        <v>289</v>
      </c>
      <c r="D14" s="19" t="s">
        <v>228</v>
      </c>
      <c r="E14" s="19" t="s">
        <v>290</v>
      </c>
      <c r="F14" s="19" t="s">
        <v>230</v>
      </c>
      <c r="G14" s="16" t="n">
        <v>4</v>
      </c>
      <c r="H14" s="16" t="n">
        <v>4</v>
      </c>
      <c r="I14" s="16" t="n">
        <v>4</v>
      </c>
      <c r="J14" s="20" t="n">
        <f aca="false">IF(COUNT(G14:I14)=3,G14*H14*I14,"")</f>
        <v>64</v>
      </c>
      <c r="K14" s="23"/>
      <c r="L14" s="25" t="str">
        <f aca="false">IF(J14="","",IF(OR(K14&lt;&gt;"",J14&gt;=48),"Tier 1",IF(J14&gt;=20,"Tier 2","Tier 3")))</f>
        <v>Tier 1</v>
      </c>
      <c r="M14" s="19" t="s">
        <v>291</v>
      </c>
      <c r="N14" s="23" t="s">
        <v>292</v>
      </c>
      <c r="O14" s="20" t="s">
        <v>260</v>
      </c>
      <c r="P14" s="16" t="s">
        <v>253</v>
      </c>
      <c r="Q14" s="23"/>
      <c r="R14" s="16" t="s">
        <v>236</v>
      </c>
    </row>
    <row r="15" customFormat="false" ht="15" hidden="false" customHeight="false" outlineLevel="0" collapsed="false">
      <c r="A15" s="13" t="s">
        <v>293</v>
      </c>
      <c r="B15" s="13" t="s">
        <v>281</v>
      </c>
      <c r="C15" s="13" t="s">
        <v>294</v>
      </c>
      <c r="D15" s="13" t="s">
        <v>295</v>
      </c>
      <c r="E15" s="13" t="s">
        <v>296</v>
      </c>
      <c r="F15" s="13" t="s">
        <v>230</v>
      </c>
      <c r="G15" s="16" t="n">
        <v>3</v>
      </c>
      <c r="H15" s="16" t="n">
        <v>5</v>
      </c>
      <c r="I15" s="16" t="n">
        <v>4</v>
      </c>
      <c r="J15" s="14" t="n">
        <f aca="false">IF(COUNT(G15:I15)=3,G15*H15*I15,"")</f>
        <v>60</v>
      </c>
      <c r="K15" s="23" t="s">
        <v>285</v>
      </c>
      <c r="L15" s="24" t="str">
        <f aca="false">IF(J15="","",IF(OR(K15&lt;&gt;"",J15&gt;=48),"Tier 1",IF(J15&gt;=20,"Tier 2","Tier 3")))</f>
        <v>Tier 1</v>
      </c>
      <c r="M15" s="13" t="s">
        <v>297</v>
      </c>
      <c r="N15" s="23" t="s">
        <v>298</v>
      </c>
      <c r="O15" s="14" t="s">
        <v>260</v>
      </c>
      <c r="P15" s="16" t="s">
        <v>253</v>
      </c>
      <c r="Q15" s="23"/>
      <c r="R15" s="16" t="s">
        <v>236</v>
      </c>
    </row>
    <row r="16" customFormat="false" ht="15" hidden="false" customHeight="false" outlineLevel="0" collapsed="false">
      <c r="A16" s="19" t="s">
        <v>299</v>
      </c>
      <c r="B16" s="19" t="s">
        <v>300</v>
      </c>
      <c r="C16" s="19" t="s">
        <v>301</v>
      </c>
      <c r="D16" s="19" t="s">
        <v>256</v>
      </c>
      <c r="E16" s="19" t="s">
        <v>302</v>
      </c>
      <c r="F16" s="19" t="s">
        <v>256</v>
      </c>
      <c r="G16" s="16" t="n">
        <v>4</v>
      </c>
      <c r="H16" s="16" t="n">
        <v>5</v>
      </c>
      <c r="I16" s="16" t="n">
        <v>3</v>
      </c>
      <c r="J16" s="20" t="n">
        <f aca="false">IF(COUNT(G16:I16)=3,G16*H16*I16,"")</f>
        <v>60</v>
      </c>
      <c r="K16" s="23"/>
      <c r="L16" s="25" t="str">
        <f aca="false">IF(J16="","",IF(OR(K16&lt;&gt;"",J16&gt;=48),"Tier 1",IF(J16&gt;=20,"Tier 2","Tier 3")))</f>
        <v>Tier 1</v>
      </c>
      <c r="M16" s="19" t="s">
        <v>278</v>
      </c>
      <c r="N16" s="23" t="s">
        <v>303</v>
      </c>
      <c r="O16" s="20" t="s">
        <v>260</v>
      </c>
      <c r="P16" s="16" t="s">
        <v>253</v>
      </c>
      <c r="Q16" s="23"/>
      <c r="R16" s="16" t="s">
        <v>236</v>
      </c>
    </row>
    <row r="17" customFormat="false" ht="15" hidden="false" customHeight="false" outlineLevel="0" collapsed="false">
      <c r="A17" s="13" t="s">
        <v>304</v>
      </c>
      <c r="B17" s="13" t="s">
        <v>300</v>
      </c>
      <c r="C17" s="13" t="s">
        <v>305</v>
      </c>
      <c r="D17" s="13" t="s">
        <v>306</v>
      </c>
      <c r="E17" s="13" t="s">
        <v>307</v>
      </c>
      <c r="F17" s="13" t="s">
        <v>230</v>
      </c>
      <c r="G17" s="16" t="n">
        <v>3</v>
      </c>
      <c r="H17" s="16" t="n">
        <v>4</v>
      </c>
      <c r="I17" s="16" t="n">
        <v>4</v>
      </c>
      <c r="J17" s="14" t="n">
        <f aca="false">IF(COUNT(G17:I17)=3,G17*H17*I17,"")</f>
        <v>48</v>
      </c>
      <c r="K17" s="23"/>
      <c r="L17" s="24" t="str">
        <f aca="false">IF(J17="","",IF(OR(K17&lt;&gt;"",J17&gt;=48),"Tier 1",IF(J17&gt;=20,"Tier 2","Tier 3")))</f>
        <v>Tier 1</v>
      </c>
      <c r="M17" s="13" t="s">
        <v>308</v>
      </c>
      <c r="N17" s="23" t="s">
        <v>309</v>
      </c>
      <c r="O17" s="14" t="s">
        <v>234</v>
      </c>
      <c r="P17" s="16" t="s">
        <v>253</v>
      </c>
      <c r="Q17" s="23"/>
      <c r="R17" s="16" t="s">
        <v>236</v>
      </c>
    </row>
    <row r="18" customFormat="false" ht="15" hidden="false" customHeight="false" outlineLevel="0" collapsed="false">
      <c r="A18" s="19" t="s">
        <v>310</v>
      </c>
      <c r="B18" s="19" t="s">
        <v>300</v>
      </c>
      <c r="C18" s="19" t="s">
        <v>311</v>
      </c>
      <c r="D18" s="19" t="s">
        <v>312</v>
      </c>
      <c r="E18" s="19" t="s">
        <v>313</v>
      </c>
      <c r="F18" s="19" t="s">
        <v>256</v>
      </c>
      <c r="G18" s="16" t="n">
        <v>4</v>
      </c>
      <c r="H18" s="16" t="n">
        <v>4</v>
      </c>
      <c r="I18" s="16" t="n">
        <v>3</v>
      </c>
      <c r="J18" s="20" t="n">
        <f aca="false">IF(COUNT(G18:I18)=3,G18*H18*I18,"")</f>
        <v>48</v>
      </c>
      <c r="K18" s="23"/>
      <c r="L18" s="25" t="str">
        <f aca="false">IF(J18="","",IF(OR(K18&lt;&gt;"",J18&gt;=48),"Tier 1",IF(J18&gt;=20,"Tier 2","Tier 3")))</f>
        <v>Tier 1</v>
      </c>
      <c r="M18" s="19" t="s">
        <v>314</v>
      </c>
      <c r="N18" s="23" t="s">
        <v>279</v>
      </c>
      <c r="O18" s="20" t="s">
        <v>260</v>
      </c>
      <c r="P18" s="16" t="s">
        <v>253</v>
      </c>
      <c r="Q18" s="23"/>
      <c r="R18" s="16" t="s">
        <v>236</v>
      </c>
    </row>
    <row r="19" customFormat="false" ht="15" hidden="false" customHeight="false" outlineLevel="0" collapsed="false">
      <c r="A19" s="13" t="s">
        <v>315</v>
      </c>
      <c r="B19" s="13" t="s">
        <v>300</v>
      </c>
      <c r="C19" s="13" t="s">
        <v>316</v>
      </c>
      <c r="D19" s="13" t="s">
        <v>228</v>
      </c>
      <c r="E19" s="13" t="s">
        <v>317</v>
      </c>
      <c r="F19" s="13" t="s">
        <v>230</v>
      </c>
      <c r="G19" s="16" t="n">
        <v>2</v>
      </c>
      <c r="H19" s="16" t="n">
        <v>5</v>
      </c>
      <c r="I19" s="16" t="n">
        <v>3</v>
      </c>
      <c r="J19" s="14" t="n">
        <f aca="false">IF(COUNT(G19:I19)=3,G19*H19*I19,"")</f>
        <v>30</v>
      </c>
      <c r="K19" s="23" t="s">
        <v>285</v>
      </c>
      <c r="L19" s="24" t="str">
        <f aca="false">IF(J19="","",IF(OR(K19&lt;&gt;"",J19&gt;=48),"Tier 1",IF(J19&gt;=20,"Tier 2","Tier 3")))</f>
        <v>Tier 1</v>
      </c>
      <c r="M19" s="13" t="s">
        <v>251</v>
      </c>
      <c r="N19" s="23" t="s">
        <v>252</v>
      </c>
      <c r="O19" s="14" t="s">
        <v>260</v>
      </c>
      <c r="P19" s="16" t="s">
        <v>253</v>
      </c>
      <c r="Q19" s="23"/>
      <c r="R19" s="16" t="s">
        <v>236</v>
      </c>
    </row>
    <row r="20" customFormat="false" ht="15" hidden="false" customHeight="false" outlineLevel="0" collapsed="false">
      <c r="A20" s="19" t="s">
        <v>318</v>
      </c>
      <c r="B20" s="19" t="s">
        <v>319</v>
      </c>
      <c r="C20" s="19" t="s">
        <v>320</v>
      </c>
      <c r="D20" s="19" t="s">
        <v>263</v>
      </c>
      <c r="E20" s="19" t="s">
        <v>321</v>
      </c>
      <c r="F20" s="19" t="s">
        <v>244</v>
      </c>
      <c r="G20" s="16" t="n">
        <v>4</v>
      </c>
      <c r="H20" s="16" t="n">
        <v>4</v>
      </c>
      <c r="I20" s="16" t="n">
        <v>3</v>
      </c>
      <c r="J20" s="20" t="n">
        <f aca="false">IF(COUNT(G20:I20)=3,G20*H20*I20,"")</f>
        <v>48</v>
      </c>
      <c r="K20" s="23"/>
      <c r="L20" s="25" t="str">
        <f aca="false">IF(J20="","",IF(OR(K20&lt;&gt;"",J20&gt;=48),"Tier 1",IF(J20&gt;=20,"Tier 2","Tier 3")))</f>
        <v>Tier 1</v>
      </c>
      <c r="M20" s="19" t="s">
        <v>322</v>
      </c>
      <c r="N20" s="23" t="s">
        <v>323</v>
      </c>
      <c r="O20" s="20" t="s">
        <v>247</v>
      </c>
      <c r="P20" s="16" t="s">
        <v>253</v>
      </c>
      <c r="Q20" s="23"/>
      <c r="R20" s="16" t="s">
        <v>236</v>
      </c>
    </row>
    <row r="21" customFormat="false" ht="15" hidden="false" customHeight="false" outlineLevel="0" collapsed="false">
      <c r="A21" s="13" t="s">
        <v>324</v>
      </c>
      <c r="B21" s="13" t="s">
        <v>319</v>
      </c>
      <c r="C21" s="13" t="s">
        <v>325</v>
      </c>
      <c r="D21" s="13" t="s">
        <v>306</v>
      </c>
      <c r="E21" s="13" t="s">
        <v>326</v>
      </c>
      <c r="F21" s="13" t="s">
        <v>230</v>
      </c>
      <c r="G21" s="16" t="n">
        <v>4</v>
      </c>
      <c r="H21" s="16" t="n">
        <v>4</v>
      </c>
      <c r="I21" s="16" t="n">
        <v>3</v>
      </c>
      <c r="J21" s="14" t="n">
        <f aca="false">IF(COUNT(G21:I21)=3,G21*H21*I21,"")</f>
        <v>48</v>
      </c>
      <c r="K21" s="23"/>
      <c r="L21" s="24" t="str">
        <f aca="false">IF(J21="","",IF(OR(K21&lt;&gt;"",J21&gt;=48),"Tier 1",IF(J21&gt;=20,"Tier 2","Tier 3")))</f>
        <v>Tier 1</v>
      </c>
      <c r="M21" s="13" t="s">
        <v>251</v>
      </c>
      <c r="N21" s="23" t="s">
        <v>252</v>
      </c>
      <c r="O21" s="14" t="s">
        <v>234</v>
      </c>
      <c r="P21" s="16" t="s">
        <v>253</v>
      </c>
      <c r="Q21" s="23"/>
      <c r="R21" s="16" t="s">
        <v>236</v>
      </c>
    </row>
    <row r="22" customFormat="false" ht="15" hidden="false" customHeight="false" outlineLevel="0" collapsed="false">
      <c r="A22" s="19" t="s">
        <v>327</v>
      </c>
      <c r="B22" s="19" t="s">
        <v>319</v>
      </c>
      <c r="C22" s="19" t="s">
        <v>328</v>
      </c>
      <c r="D22" s="19" t="s">
        <v>329</v>
      </c>
      <c r="E22" s="19" t="s">
        <v>330</v>
      </c>
      <c r="F22" s="19" t="s">
        <v>244</v>
      </c>
      <c r="G22" s="16" t="n">
        <v>5</v>
      </c>
      <c r="H22" s="16" t="n">
        <v>4</v>
      </c>
      <c r="I22" s="16" t="n">
        <v>4</v>
      </c>
      <c r="J22" s="20" t="n">
        <f aca="false">IF(COUNT(G22:I22)=3,G22*H22*I22,"")</f>
        <v>80</v>
      </c>
      <c r="K22" s="23" t="s">
        <v>331</v>
      </c>
      <c r="L22" s="25" t="str">
        <f aca="false">IF(J22="","",IF(OR(K22&lt;&gt;"",J22&gt;=48),"Tier 1",IF(J22&gt;=20,"Tier 2","Tier 3")))</f>
        <v>Tier 1</v>
      </c>
      <c r="M22" s="19" t="s">
        <v>332</v>
      </c>
      <c r="N22" s="23" t="s">
        <v>333</v>
      </c>
      <c r="O22" s="20" t="s">
        <v>247</v>
      </c>
      <c r="P22" s="16" t="s">
        <v>235</v>
      </c>
      <c r="Q22" s="23"/>
      <c r="R22" s="16" t="s">
        <v>236</v>
      </c>
    </row>
    <row r="23" customFormat="false" ht="15" hidden="false" customHeight="false" outlineLevel="0" collapsed="false">
      <c r="A23" s="13" t="s">
        <v>334</v>
      </c>
      <c r="B23" s="13" t="s">
        <v>319</v>
      </c>
      <c r="C23" s="13" t="s">
        <v>335</v>
      </c>
      <c r="D23" s="13" t="s">
        <v>306</v>
      </c>
      <c r="E23" s="13" t="s">
        <v>336</v>
      </c>
      <c r="F23" s="13" t="s">
        <v>230</v>
      </c>
      <c r="G23" s="16" t="n">
        <v>4</v>
      </c>
      <c r="H23" s="16" t="n">
        <v>4</v>
      </c>
      <c r="I23" s="16" t="n">
        <v>4</v>
      </c>
      <c r="J23" s="14" t="n">
        <f aca="false">IF(COUNT(G23:I23)=3,G23*H23*I23,"")</f>
        <v>64</v>
      </c>
      <c r="K23" s="23" t="s">
        <v>331</v>
      </c>
      <c r="L23" s="24" t="str">
        <f aca="false">IF(J23="","",IF(OR(K23&lt;&gt;"",J23&gt;=48),"Tier 1",IF(J23&gt;=20,"Tier 2","Tier 3")))</f>
        <v>Tier 1</v>
      </c>
      <c r="M23" s="13" t="s">
        <v>337</v>
      </c>
      <c r="N23" s="23" t="s">
        <v>338</v>
      </c>
      <c r="O23" s="14" t="s">
        <v>234</v>
      </c>
      <c r="P23" s="16" t="s">
        <v>253</v>
      </c>
      <c r="Q23" s="23"/>
      <c r="R23" s="16" t="s">
        <v>236</v>
      </c>
    </row>
    <row r="24" customFormat="false" ht="15" hidden="false" customHeight="false" outlineLevel="0" collapsed="false">
      <c r="A24" s="19" t="s">
        <v>339</v>
      </c>
      <c r="B24" s="19" t="s">
        <v>319</v>
      </c>
      <c r="C24" s="19" t="s">
        <v>340</v>
      </c>
      <c r="D24" s="19" t="s">
        <v>276</v>
      </c>
      <c r="E24" s="19" t="s">
        <v>341</v>
      </c>
      <c r="F24" s="19" t="s">
        <v>230</v>
      </c>
      <c r="G24" s="16" t="n">
        <v>5</v>
      </c>
      <c r="H24" s="16" t="n">
        <v>4</v>
      </c>
      <c r="I24" s="16" t="n">
        <v>4</v>
      </c>
      <c r="J24" s="20" t="n">
        <f aca="false">IF(COUNT(G24:I24)=3,G24*H24*I24,"")</f>
        <v>80</v>
      </c>
      <c r="K24" s="23"/>
      <c r="L24" s="25" t="str">
        <f aca="false">IF(J24="","",IF(OR(K24&lt;&gt;"",J24&gt;=48),"Tier 1",IF(J24&gt;=20,"Tier 2","Tier 3")))</f>
        <v>Tier 1</v>
      </c>
      <c r="M24" s="19" t="s">
        <v>342</v>
      </c>
      <c r="N24" s="23" t="s">
        <v>323</v>
      </c>
      <c r="O24" s="20" t="s">
        <v>234</v>
      </c>
      <c r="P24" s="16" t="s">
        <v>235</v>
      </c>
      <c r="Q24" s="23"/>
      <c r="R24" s="16" t="s">
        <v>236</v>
      </c>
    </row>
    <row r="25" customFormat="false" ht="15" hidden="false" customHeight="false" outlineLevel="0" collapsed="false">
      <c r="A25" s="13" t="s">
        <v>343</v>
      </c>
      <c r="B25" s="13" t="s">
        <v>319</v>
      </c>
      <c r="C25" s="13" t="s">
        <v>344</v>
      </c>
      <c r="D25" s="13" t="s">
        <v>256</v>
      </c>
      <c r="E25" s="13" t="s">
        <v>345</v>
      </c>
      <c r="F25" s="13" t="s">
        <v>256</v>
      </c>
      <c r="G25" s="16" t="n">
        <v>3</v>
      </c>
      <c r="H25" s="16" t="n">
        <v>5</v>
      </c>
      <c r="I25" s="16" t="n">
        <v>3</v>
      </c>
      <c r="J25" s="14" t="n">
        <f aca="false">IF(COUNT(G25:I25)=3,G25*H25*I25,"")</f>
        <v>45</v>
      </c>
      <c r="K25" s="23" t="s">
        <v>285</v>
      </c>
      <c r="L25" s="24" t="str">
        <f aca="false">IF(J25="","",IF(OR(K25&lt;&gt;"",J25&gt;=48),"Tier 1",IF(J25&gt;=20,"Tier 2","Tier 3")))</f>
        <v>Tier 1</v>
      </c>
      <c r="M25" s="13" t="s">
        <v>346</v>
      </c>
      <c r="N25" s="23" t="s">
        <v>279</v>
      </c>
      <c r="O25" s="14" t="s">
        <v>260</v>
      </c>
      <c r="P25" s="16" t="s">
        <v>253</v>
      </c>
      <c r="Q25" s="23"/>
      <c r="R25" s="16" t="s">
        <v>236</v>
      </c>
    </row>
    <row r="26" customFormat="false" ht="15" hidden="false" customHeight="false" outlineLevel="0" collapsed="false">
      <c r="A26" s="19" t="s">
        <v>347</v>
      </c>
      <c r="B26" s="19" t="s">
        <v>348</v>
      </c>
      <c r="C26" s="19" t="s">
        <v>349</v>
      </c>
      <c r="D26" s="19" t="s">
        <v>242</v>
      </c>
      <c r="E26" s="19" t="s">
        <v>350</v>
      </c>
      <c r="F26" s="19" t="s">
        <v>244</v>
      </c>
      <c r="G26" s="16" t="n">
        <v>4</v>
      </c>
      <c r="H26" s="16" t="n">
        <v>4</v>
      </c>
      <c r="I26" s="16" t="n">
        <v>4</v>
      </c>
      <c r="J26" s="20" t="n">
        <f aca="false">IF(COUNT(G26:I26)=3,G26*H26*I26,"")</f>
        <v>64</v>
      </c>
      <c r="K26" s="23"/>
      <c r="L26" s="25" t="str">
        <f aca="false">IF(J26="","",IF(OR(K26&lt;&gt;"",J26&gt;=48),"Tier 1",IF(J26&gt;=20,"Tier 2","Tier 3")))</f>
        <v>Tier 1</v>
      </c>
      <c r="M26" s="19" t="s">
        <v>351</v>
      </c>
      <c r="N26" s="23" t="s">
        <v>352</v>
      </c>
      <c r="O26" s="20" t="s">
        <v>247</v>
      </c>
      <c r="P26" s="16" t="s">
        <v>235</v>
      </c>
      <c r="Q26" s="23"/>
      <c r="R26" s="16" t="s">
        <v>236</v>
      </c>
    </row>
    <row r="27" customFormat="false" ht="15" hidden="false" customHeight="false" outlineLevel="0" collapsed="false">
      <c r="A27" s="13" t="s">
        <v>353</v>
      </c>
      <c r="B27" s="13" t="s">
        <v>348</v>
      </c>
      <c r="C27" s="13" t="s">
        <v>354</v>
      </c>
      <c r="D27" s="13" t="s">
        <v>256</v>
      </c>
      <c r="E27" s="13" t="s">
        <v>355</v>
      </c>
      <c r="F27" s="13" t="s">
        <v>256</v>
      </c>
      <c r="G27" s="16" t="n">
        <v>4</v>
      </c>
      <c r="H27" s="16" t="n">
        <v>4</v>
      </c>
      <c r="I27" s="16" t="n">
        <v>4</v>
      </c>
      <c r="J27" s="14" t="n">
        <f aca="false">IF(COUNT(G27:I27)=3,G27*H27*I27,"")</f>
        <v>64</v>
      </c>
      <c r="K27" s="23"/>
      <c r="L27" s="24" t="str">
        <f aca="false">IF(J27="","",IF(OR(K27&lt;&gt;"",J27&gt;=48),"Tier 1",IF(J27&gt;=20,"Tier 2","Tier 3")))</f>
        <v>Tier 1</v>
      </c>
      <c r="M27" s="13" t="s">
        <v>278</v>
      </c>
      <c r="N27" s="23" t="s">
        <v>279</v>
      </c>
      <c r="O27" s="14" t="s">
        <v>260</v>
      </c>
      <c r="P27" s="16" t="s">
        <v>253</v>
      </c>
      <c r="Q27" s="23"/>
      <c r="R27" s="16" t="s">
        <v>236</v>
      </c>
    </row>
    <row r="28" customFormat="false" ht="15" hidden="false" customHeight="false" outlineLevel="0" collapsed="false">
      <c r="A28" s="19" t="s">
        <v>356</v>
      </c>
      <c r="B28" s="19" t="s">
        <v>348</v>
      </c>
      <c r="C28" s="19" t="s">
        <v>357</v>
      </c>
      <c r="D28" s="19" t="s">
        <v>263</v>
      </c>
      <c r="E28" s="19" t="s">
        <v>358</v>
      </c>
      <c r="F28" s="19" t="s">
        <v>244</v>
      </c>
      <c r="G28" s="16" t="n">
        <v>4</v>
      </c>
      <c r="H28" s="16" t="n">
        <v>3</v>
      </c>
      <c r="I28" s="16" t="n">
        <v>4</v>
      </c>
      <c r="J28" s="20" t="n">
        <f aca="false">IF(COUNT(G28:I28)=3,G28*H28*I28,"")</f>
        <v>48</v>
      </c>
      <c r="K28" s="23"/>
      <c r="L28" s="25" t="str">
        <f aca="false">IF(J28="","",IF(OR(K28&lt;&gt;"",J28&gt;=48),"Tier 1",IF(J28&gt;=20,"Tier 2","Tier 3")))</f>
        <v>Tier 1</v>
      </c>
      <c r="M28" s="19" t="s">
        <v>265</v>
      </c>
      <c r="N28" s="23" t="s">
        <v>266</v>
      </c>
      <c r="O28" s="20" t="s">
        <v>247</v>
      </c>
      <c r="P28" s="16" t="s">
        <v>235</v>
      </c>
      <c r="Q28" s="23"/>
      <c r="R28" s="16" t="s">
        <v>236</v>
      </c>
    </row>
    <row r="29" customFormat="false" ht="15" hidden="false" customHeight="false" outlineLevel="0" collapsed="false">
      <c r="A29" s="13" t="s">
        <v>359</v>
      </c>
      <c r="B29" s="13" t="s">
        <v>360</v>
      </c>
      <c r="C29" s="13" t="s">
        <v>361</v>
      </c>
      <c r="D29" s="13" t="s">
        <v>263</v>
      </c>
      <c r="E29" s="13" t="s">
        <v>362</v>
      </c>
      <c r="F29" s="13" t="s">
        <v>244</v>
      </c>
      <c r="G29" s="16" t="n">
        <v>5</v>
      </c>
      <c r="H29" s="16" t="n">
        <v>4</v>
      </c>
      <c r="I29" s="16" t="n">
        <v>4</v>
      </c>
      <c r="J29" s="14" t="n">
        <f aca="false">IF(COUNT(G29:I29)=3,G29*H29*I29,"")</f>
        <v>80</v>
      </c>
      <c r="K29" s="23" t="s">
        <v>363</v>
      </c>
      <c r="L29" s="24" t="str">
        <f aca="false">IF(J29="","",IF(OR(K29&lt;&gt;"",J29&gt;=48),"Tier 1",IF(J29&gt;=20,"Tier 2","Tier 3")))</f>
        <v>Tier 1</v>
      </c>
      <c r="M29" s="13" t="s">
        <v>364</v>
      </c>
      <c r="N29" s="23" t="s">
        <v>266</v>
      </c>
      <c r="O29" s="14" t="s">
        <v>247</v>
      </c>
      <c r="P29" s="16" t="s">
        <v>253</v>
      </c>
      <c r="Q29" s="23"/>
      <c r="R29" s="16" t="s">
        <v>236</v>
      </c>
    </row>
    <row r="30" customFormat="false" ht="15" hidden="false" customHeight="false" outlineLevel="0" collapsed="false">
      <c r="A30" s="19" t="s">
        <v>365</v>
      </c>
      <c r="B30" s="19" t="s">
        <v>360</v>
      </c>
      <c r="C30" s="19" t="s">
        <v>366</v>
      </c>
      <c r="D30" s="19" t="s">
        <v>367</v>
      </c>
      <c r="E30" s="19" t="s">
        <v>368</v>
      </c>
      <c r="F30" s="19" t="s">
        <v>230</v>
      </c>
      <c r="G30" s="16" t="n">
        <v>5</v>
      </c>
      <c r="H30" s="16" t="n">
        <v>5</v>
      </c>
      <c r="I30" s="16" t="n">
        <v>3</v>
      </c>
      <c r="J30" s="20" t="n">
        <f aca="false">IF(COUNT(G30:I30)=3,G30*H30*I30,"")</f>
        <v>75</v>
      </c>
      <c r="K30" s="23" t="s">
        <v>363</v>
      </c>
      <c r="L30" s="25" t="str">
        <f aca="false">IF(J30="","",IF(OR(K30&lt;&gt;"",J30&gt;=48),"Tier 1",IF(J30&gt;=20,"Tier 2","Tier 3")))</f>
        <v>Tier 1</v>
      </c>
      <c r="M30" s="19" t="s">
        <v>369</v>
      </c>
      <c r="N30" s="23" t="s">
        <v>370</v>
      </c>
      <c r="O30" s="20" t="s">
        <v>234</v>
      </c>
      <c r="P30" s="16" t="s">
        <v>235</v>
      </c>
      <c r="Q30" s="23"/>
      <c r="R30" s="16" t="s">
        <v>236</v>
      </c>
    </row>
    <row r="31" customFormat="false" ht="15" hidden="false" customHeight="false" outlineLevel="0" collapsed="false">
      <c r="A31" s="13" t="s">
        <v>371</v>
      </c>
      <c r="B31" s="13" t="s">
        <v>360</v>
      </c>
      <c r="C31" s="13" t="s">
        <v>372</v>
      </c>
      <c r="D31" s="13" t="s">
        <v>263</v>
      </c>
      <c r="E31" s="13" t="s">
        <v>373</v>
      </c>
      <c r="F31" s="13" t="s">
        <v>374</v>
      </c>
      <c r="G31" s="16" t="n">
        <v>4</v>
      </c>
      <c r="H31" s="16" t="n">
        <v>4</v>
      </c>
      <c r="I31" s="16" t="n">
        <v>4</v>
      </c>
      <c r="J31" s="14" t="n">
        <f aca="false">IF(COUNT(G31:I31)=3,G31*H31*I31,"")</f>
        <v>64</v>
      </c>
      <c r="K31" s="23"/>
      <c r="L31" s="24" t="str">
        <f aca="false">IF(J31="","",IF(OR(K31&lt;&gt;"",J31&gt;=48),"Tier 1",IF(J31&gt;=20,"Tier 2","Tier 3")))</f>
        <v>Tier 1</v>
      </c>
      <c r="M31" s="13" t="s">
        <v>375</v>
      </c>
      <c r="N31" s="23" t="s">
        <v>376</v>
      </c>
      <c r="O31" s="14" t="s">
        <v>377</v>
      </c>
      <c r="P31" s="16" t="s">
        <v>253</v>
      </c>
      <c r="Q31" s="23"/>
      <c r="R31" s="16" t="s">
        <v>236</v>
      </c>
    </row>
    <row r="32" customFormat="false" ht="15" hidden="false" customHeight="false" outlineLevel="0" collapsed="false">
      <c r="A32" s="19" t="s">
        <v>378</v>
      </c>
      <c r="B32" s="19" t="s">
        <v>360</v>
      </c>
      <c r="C32" s="19" t="s">
        <v>379</v>
      </c>
      <c r="D32" s="19" t="s">
        <v>256</v>
      </c>
      <c r="E32" s="19" t="s">
        <v>380</v>
      </c>
      <c r="F32" s="19" t="s">
        <v>256</v>
      </c>
      <c r="G32" s="16" t="n">
        <v>5</v>
      </c>
      <c r="H32" s="16" t="n">
        <v>4</v>
      </c>
      <c r="I32" s="16" t="n">
        <v>4</v>
      </c>
      <c r="J32" s="20" t="n">
        <f aca="false">IF(COUNT(G32:I32)=3,G32*H32*I32,"")</f>
        <v>80</v>
      </c>
      <c r="K32" s="23"/>
      <c r="L32" s="25" t="str">
        <f aca="false">IF(J32="","",IF(OR(K32&lt;&gt;"",J32&gt;=48),"Tier 1",IF(J32&gt;=20,"Tier 2","Tier 3")))</f>
        <v>Tier 1</v>
      </c>
      <c r="M32" s="19" t="s">
        <v>381</v>
      </c>
      <c r="N32" s="23" t="s">
        <v>279</v>
      </c>
      <c r="O32" s="20" t="s">
        <v>260</v>
      </c>
      <c r="P32" s="16" t="s">
        <v>253</v>
      </c>
      <c r="Q32" s="23"/>
      <c r="R32" s="16" t="s">
        <v>236</v>
      </c>
    </row>
    <row r="33" customFormat="false" ht="15" hidden="false" customHeight="false" outlineLevel="0" collapsed="false">
      <c r="A33" s="13" t="s">
        <v>382</v>
      </c>
      <c r="B33" s="13" t="s">
        <v>360</v>
      </c>
      <c r="C33" s="13" t="s">
        <v>383</v>
      </c>
      <c r="D33" s="13" t="s">
        <v>256</v>
      </c>
      <c r="E33" s="13" t="s">
        <v>384</v>
      </c>
      <c r="F33" s="13" t="s">
        <v>256</v>
      </c>
      <c r="G33" s="16" t="n">
        <v>5</v>
      </c>
      <c r="H33" s="16" t="n">
        <v>5</v>
      </c>
      <c r="I33" s="16" t="n">
        <v>4</v>
      </c>
      <c r="J33" s="14" t="n">
        <f aca="false">IF(COUNT(G33:I33)=3,G33*H33*I33,"")</f>
        <v>100</v>
      </c>
      <c r="K33" s="23"/>
      <c r="L33" s="24" t="str">
        <f aca="false">IF(J33="","",IF(OR(K33&lt;&gt;"",J33&gt;=48),"Tier 1",IF(J33&gt;=20,"Tier 2","Tier 3")))</f>
        <v>Tier 1</v>
      </c>
      <c r="M33" s="13" t="s">
        <v>385</v>
      </c>
      <c r="N33" s="23" t="s">
        <v>303</v>
      </c>
      <c r="O33" s="14" t="s">
        <v>260</v>
      </c>
      <c r="P33" s="16" t="s">
        <v>253</v>
      </c>
      <c r="Q33" s="23"/>
      <c r="R33" s="16" t="s">
        <v>236</v>
      </c>
    </row>
    <row r="34" customFormat="false" ht="15" hidden="false" customHeight="false" outlineLevel="0" collapsed="false">
      <c r="A34" s="19" t="s">
        <v>386</v>
      </c>
      <c r="B34" s="19" t="s">
        <v>360</v>
      </c>
      <c r="C34" s="19" t="s">
        <v>387</v>
      </c>
      <c r="D34" s="19" t="s">
        <v>388</v>
      </c>
      <c r="E34" s="19" t="s">
        <v>389</v>
      </c>
      <c r="F34" s="19" t="s">
        <v>230</v>
      </c>
      <c r="G34" s="16" t="n">
        <v>4</v>
      </c>
      <c r="H34" s="16" t="n">
        <v>4</v>
      </c>
      <c r="I34" s="16" t="n">
        <v>3</v>
      </c>
      <c r="J34" s="20" t="n">
        <f aca="false">IF(COUNT(G34:I34)=3,G34*H34*I34,"")</f>
        <v>48</v>
      </c>
      <c r="K34" s="23"/>
      <c r="L34" s="25" t="str">
        <f aca="false">IF(J34="","",IF(OR(K34&lt;&gt;"",J34&gt;=48),"Tier 1",IF(J34&gt;=20,"Tier 2","Tier 3")))</f>
        <v>Tier 1</v>
      </c>
      <c r="M34" s="19" t="s">
        <v>390</v>
      </c>
      <c r="N34" s="23" t="s">
        <v>391</v>
      </c>
      <c r="O34" s="20" t="s">
        <v>260</v>
      </c>
      <c r="P34" s="16" t="s">
        <v>253</v>
      </c>
      <c r="Q34" s="23"/>
      <c r="R34" s="16" t="s">
        <v>236</v>
      </c>
    </row>
    <row r="35" customFormat="false" ht="15" hidden="false" customHeight="false" outlineLevel="0" collapsed="false">
      <c r="A35" s="13" t="s">
        <v>392</v>
      </c>
      <c r="B35" s="13" t="s">
        <v>393</v>
      </c>
      <c r="C35" s="13" t="s">
        <v>394</v>
      </c>
      <c r="D35" s="13" t="s">
        <v>306</v>
      </c>
      <c r="E35" s="13" t="s">
        <v>395</v>
      </c>
      <c r="F35" s="13" t="s">
        <v>230</v>
      </c>
      <c r="G35" s="16" t="n">
        <v>4</v>
      </c>
      <c r="H35" s="16" t="n">
        <v>4</v>
      </c>
      <c r="I35" s="16" t="n">
        <v>3</v>
      </c>
      <c r="J35" s="14" t="n">
        <f aca="false">IF(COUNT(G35:I35)=3,G35*H35*I35,"")</f>
        <v>48</v>
      </c>
      <c r="K35" s="23"/>
      <c r="L35" s="24" t="str">
        <f aca="false">IF(J35="","",IF(OR(K35&lt;&gt;"",J35&gt;=48),"Tier 1",IF(J35&gt;=20,"Tier 2","Tier 3")))</f>
        <v>Tier 1</v>
      </c>
      <c r="M35" s="13" t="s">
        <v>396</v>
      </c>
      <c r="N35" s="23" t="s">
        <v>397</v>
      </c>
      <c r="O35" s="14" t="s">
        <v>234</v>
      </c>
      <c r="P35" s="16" t="s">
        <v>253</v>
      </c>
      <c r="Q35" s="23"/>
      <c r="R35" s="16" t="s">
        <v>236</v>
      </c>
    </row>
    <row r="36" customFormat="false" ht="15" hidden="false" customHeight="false" outlineLevel="0" collapsed="false">
      <c r="A36" s="19" t="s">
        <v>398</v>
      </c>
      <c r="B36" s="19" t="s">
        <v>393</v>
      </c>
      <c r="C36" s="19" t="s">
        <v>399</v>
      </c>
      <c r="D36" s="19" t="s">
        <v>388</v>
      </c>
      <c r="E36" s="19" t="s">
        <v>400</v>
      </c>
      <c r="F36" s="19" t="s">
        <v>230</v>
      </c>
      <c r="G36" s="16" t="n">
        <v>5</v>
      </c>
      <c r="H36" s="16" t="n">
        <v>5</v>
      </c>
      <c r="I36" s="16" t="n">
        <v>5</v>
      </c>
      <c r="J36" s="20" t="n">
        <f aca="false">IF(COUNT(G36:I36)=3,G36*H36*I36,"")</f>
        <v>125</v>
      </c>
      <c r="K36" s="23"/>
      <c r="L36" s="25" t="str">
        <f aca="false">IF(J36="","",IF(OR(K36&lt;&gt;"",J36&gt;=48),"Tier 1",IF(J36&gt;=20,"Tier 2","Tier 3")))</f>
        <v>Tier 1</v>
      </c>
      <c r="M36" s="19" t="s">
        <v>401</v>
      </c>
      <c r="N36" s="23" t="s">
        <v>402</v>
      </c>
      <c r="O36" s="20" t="s">
        <v>234</v>
      </c>
      <c r="P36" s="16" t="s">
        <v>253</v>
      </c>
      <c r="Q36" s="23"/>
      <c r="R36" s="16" t="s">
        <v>236</v>
      </c>
    </row>
    <row r="37" customFormat="false" ht="15" hidden="false" customHeight="false" outlineLevel="0" collapsed="false">
      <c r="A37" s="13" t="s">
        <v>403</v>
      </c>
      <c r="B37" s="13" t="s">
        <v>393</v>
      </c>
      <c r="C37" s="13" t="s">
        <v>404</v>
      </c>
      <c r="D37" s="13" t="s">
        <v>388</v>
      </c>
      <c r="E37" s="13" t="s">
        <v>400</v>
      </c>
      <c r="F37" s="13" t="s">
        <v>405</v>
      </c>
      <c r="G37" s="16" t="n">
        <v>4</v>
      </c>
      <c r="H37" s="16" t="n">
        <v>4</v>
      </c>
      <c r="I37" s="16" t="n">
        <v>3</v>
      </c>
      <c r="J37" s="14" t="n">
        <f aca="false">IF(COUNT(G37:I37)=3,G37*H37*I37,"")</f>
        <v>48</v>
      </c>
      <c r="K37" s="23"/>
      <c r="L37" s="24" t="str">
        <f aca="false">IF(J37="","",IF(OR(K37&lt;&gt;"",J37&gt;=48),"Tier 1",IF(J37&gt;=20,"Tier 2","Tier 3")))</f>
        <v>Tier 1</v>
      </c>
      <c r="M37" s="13" t="s">
        <v>406</v>
      </c>
      <c r="N37" s="23" t="s">
        <v>407</v>
      </c>
      <c r="O37" s="14" t="s">
        <v>377</v>
      </c>
      <c r="P37" s="16" t="s">
        <v>253</v>
      </c>
      <c r="Q37" s="23"/>
      <c r="R37" s="16" t="s">
        <v>236</v>
      </c>
    </row>
    <row r="38" customFormat="false" ht="15" hidden="false" customHeight="false" outlineLevel="0" collapsed="false">
      <c r="A38" s="19" t="s">
        <v>408</v>
      </c>
      <c r="B38" s="19" t="s">
        <v>393</v>
      </c>
      <c r="C38" s="19" t="s">
        <v>409</v>
      </c>
      <c r="D38" s="19" t="s">
        <v>388</v>
      </c>
      <c r="E38" s="19" t="s">
        <v>400</v>
      </c>
      <c r="F38" s="19" t="s">
        <v>410</v>
      </c>
      <c r="G38" s="16" t="n">
        <v>4</v>
      </c>
      <c r="H38" s="16" t="n">
        <v>4</v>
      </c>
      <c r="I38" s="16" t="n">
        <v>4</v>
      </c>
      <c r="J38" s="20" t="n">
        <f aca="false">IF(COUNT(G38:I38)=3,G38*H38*I38,"")</f>
        <v>64</v>
      </c>
      <c r="K38" s="23"/>
      <c r="L38" s="25" t="str">
        <f aca="false">IF(J38="","",IF(OR(K38&lt;&gt;"",J38&gt;=48),"Tier 1",IF(J38&gt;=20,"Tier 2","Tier 3")))</f>
        <v>Tier 1</v>
      </c>
      <c r="M38" s="19" t="s">
        <v>411</v>
      </c>
      <c r="N38" s="23" t="s">
        <v>412</v>
      </c>
      <c r="O38" s="20" t="s">
        <v>377</v>
      </c>
      <c r="P38" s="16" t="s">
        <v>253</v>
      </c>
      <c r="Q38" s="23"/>
      <c r="R38" s="16" t="s">
        <v>236</v>
      </c>
    </row>
    <row r="39" customFormat="false" ht="15" hidden="false" customHeight="false" outlineLevel="0" collapsed="false">
      <c r="A39" s="13" t="s">
        <v>413</v>
      </c>
      <c r="B39" s="13" t="s">
        <v>393</v>
      </c>
      <c r="C39" s="13" t="s">
        <v>414</v>
      </c>
      <c r="D39" s="13" t="s">
        <v>228</v>
      </c>
      <c r="E39" s="13" t="s">
        <v>415</v>
      </c>
      <c r="F39" s="13" t="s">
        <v>230</v>
      </c>
      <c r="G39" s="16" t="n">
        <v>3</v>
      </c>
      <c r="H39" s="16" t="n">
        <v>4</v>
      </c>
      <c r="I39" s="16" t="n">
        <v>4</v>
      </c>
      <c r="J39" s="14" t="n">
        <f aca="false">IF(COUNT(G39:I39)=3,G39*H39*I39,"")</f>
        <v>48</v>
      </c>
      <c r="K39" s="23"/>
      <c r="L39" s="24" t="str">
        <f aca="false">IF(J39="","",IF(OR(K39&lt;&gt;"",J39&gt;=48),"Tier 1",IF(J39&gt;=20,"Tier 2","Tier 3")))</f>
        <v>Tier 1</v>
      </c>
      <c r="M39" s="13" t="s">
        <v>416</v>
      </c>
      <c r="N39" s="23" t="s">
        <v>309</v>
      </c>
      <c r="O39" s="14" t="s">
        <v>234</v>
      </c>
      <c r="P39" s="16" t="s">
        <v>253</v>
      </c>
      <c r="Q39" s="23"/>
      <c r="R39" s="16" t="s">
        <v>236</v>
      </c>
    </row>
    <row r="40" customFormat="false" ht="15" hidden="false" customHeight="false" outlineLevel="0" collapsed="false">
      <c r="A40" s="19" t="s">
        <v>417</v>
      </c>
      <c r="B40" s="19" t="s">
        <v>226</v>
      </c>
      <c r="C40" s="19" t="s">
        <v>418</v>
      </c>
      <c r="D40" s="19" t="s">
        <v>263</v>
      </c>
      <c r="E40" s="19" t="s">
        <v>264</v>
      </c>
      <c r="F40" s="19" t="s">
        <v>419</v>
      </c>
      <c r="G40" s="16" t="n">
        <v>2</v>
      </c>
      <c r="H40" s="16" t="n">
        <v>3</v>
      </c>
      <c r="I40" s="16" t="n">
        <v>3</v>
      </c>
      <c r="J40" s="20" t="n">
        <f aca="false">IF(COUNT(G40:I40)=3,G40*H40*I40,"")</f>
        <v>18</v>
      </c>
      <c r="K40" s="23"/>
      <c r="L40" s="25" t="str">
        <f aca="false">IF(J40="","",IF(OR(K40&lt;&gt;"",J40&gt;=48),"Tier 1",IF(J40&gt;=20,"Tier 2","Tier 3")))</f>
        <v>Tier 3</v>
      </c>
      <c r="M40" s="19" t="s">
        <v>420</v>
      </c>
      <c r="N40" s="23" t="s">
        <v>323</v>
      </c>
      <c r="O40" s="20" t="s">
        <v>421</v>
      </c>
      <c r="P40" s="16" t="s">
        <v>235</v>
      </c>
      <c r="Q40" s="23"/>
      <c r="R40" s="16" t="s">
        <v>236</v>
      </c>
    </row>
    <row r="41" customFormat="false" ht="15" hidden="false" customHeight="false" outlineLevel="0" collapsed="false">
      <c r="A41" s="13" t="s">
        <v>422</v>
      </c>
      <c r="B41" s="13" t="s">
        <v>319</v>
      </c>
      <c r="C41" s="13" t="s">
        <v>423</v>
      </c>
      <c r="D41" s="13" t="s">
        <v>263</v>
      </c>
      <c r="E41" s="13" t="s">
        <v>424</v>
      </c>
      <c r="F41" s="13" t="s">
        <v>419</v>
      </c>
      <c r="G41" s="16" t="n">
        <v>2</v>
      </c>
      <c r="H41" s="16" t="n">
        <v>3</v>
      </c>
      <c r="I41" s="16" t="n">
        <v>3</v>
      </c>
      <c r="J41" s="14" t="n">
        <f aca="false">IF(COUNT(G41:I41)=3,G41*H41*I41,"")</f>
        <v>18</v>
      </c>
      <c r="K41" s="23"/>
      <c r="L41" s="24" t="str">
        <f aca="false">IF(J41="","",IF(OR(K41&lt;&gt;"",J41&gt;=48),"Tier 1",IF(J41&gt;=20,"Tier 2","Tier 3")))</f>
        <v>Tier 3</v>
      </c>
      <c r="M41" s="13" t="s">
        <v>420</v>
      </c>
      <c r="N41" s="23" t="s">
        <v>323</v>
      </c>
      <c r="O41" s="14" t="s">
        <v>421</v>
      </c>
      <c r="P41" s="16" t="s">
        <v>253</v>
      </c>
      <c r="Q41" s="23"/>
      <c r="R41" s="16" t="s">
        <v>236</v>
      </c>
    </row>
    <row r="42" customFormat="false" ht="15" hidden="false" customHeight="false" outlineLevel="0" collapsed="false">
      <c r="A42" s="19" t="s">
        <v>425</v>
      </c>
      <c r="B42" s="19" t="s">
        <v>281</v>
      </c>
      <c r="C42" s="19" t="s">
        <v>426</v>
      </c>
      <c r="D42" s="19" t="s">
        <v>256</v>
      </c>
      <c r="E42" s="19" t="s">
        <v>427</v>
      </c>
      <c r="F42" s="19" t="s">
        <v>419</v>
      </c>
      <c r="G42" s="16" t="n">
        <v>1</v>
      </c>
      <c r="H42" s="16" t="n">
        <v>4</v>
      </c>
      <c r="I42" s="16" t="n">
        <v>2</v>
      </c>
      <c r="J42" s="20" t="n">
        <f aca="false">IF(COUNT(G42:I42)=3,G42*H42*I42,"")</f>
        <v>8</v>
      </c>
      <c r="K42" s="23"/>
      <c r="L42" s="25" t="str">
        <f aca="false">IF(J42="","",IF(OR(K42&lt;&gt;"",J42&gt;=48),"Tier 1",IF(J42&gt;=20,"Tier 2","Tier 3")))</f>
        <v>Tier 3</v>
      </c>
      <c r="M42" s="19" t="s">
        <v>428</v>
      </c>
      <c r="N42" s="23" t="s">
        <v>429</v>
      </c>
      <c r="O42" s="20" t="s">
        <v>421</v>
      </c>
      <c r="P42" s="16" t="s">
        <v>253</v>
      </c>
      <c r="Q42" s="23"/>
      <c r="R42" s="16" t="s">
        <v>236</v>
      </c>
    </row>
    <row r="43" customFormat="false" ht="15" hidden="false" customHeight="false" outlineLevel="0" collapsed="false">
      <c r="A43" s="13" t="s">
        <v>430</v>
      </c>
      <c r="B43" s="13" t="s">
        <v>226</v>
      </c>
      <c r="C43" s="13" t="s">
        <v>431</v>
      </c>
      <c r="D43" s="13" t="s">
        <v>228</v>
      </c>
      <c r="E43" s="13" t="s">
        <v>432</v>
      </c>
      <c r="F43" s="13" t="s">
        <v>419</v>
      </c>
      <c r="G43" s="16" t="n">
        <v>3</v>
      </c>
      <c r="H43" s="16" t="n">
        <v>3</v>
      </c>
      <c r="I43" s="16" t="n">
        <v>3</v>
      </c>
      <c r="J43" s="14" t="n">
        <f aca="false">IF(COUNT(G43:I43)=3,G43*H43*I43,"")</f>
        <v>27</v>
      </c>
      <c r="K43" s="23"/>
      <c r="L43" s="24" t="str">
        <f aca="false">IF(J43="","",IF(OR(K43&lt;&gt;"",J43&gt;=48),"Tier 1",IF(J43&gt;=20,"Tier 2","Tier 3")))</f>
        <v>Tier 2</v>
      </c>
      <c r="M43" s="13" t="s">
        <v>251</v>
      </c>
      <c r="N43" s="23" t="s">
        <v>252</v>
      </c>
      <c r="O43" s="14" t="s">
        <v>421</v>
      </c>
      <c r="P43" s="16" t="s">
        <v>253</v>
      </c>
      <c r="Q43" s="23"/>
      <c r="R43" s="16" t="s">
        <v>236</v>
      </c>
    </row>
    <row r="44" customFormat="false" ht="15" hidden="false" customHeight="false" outlineLevel="0" collapsed="false">
      <c r="A44" s="19" t="s">
        <v>433</v>
      </c>
      <c r="B44" s="19" t="s">
        <v>360</v>
      </c>
      <c r="C44" s="19" t="s">
        <v>434</v>
      </c>
      <c r="D44" s="19" t="s">
        <v>263</v>
      </c>
      <c r="E44" s="19" t="s">
        <v>435</v>
      </c>
      <c r="F44" s="19" t="s">
        <v>419</v>
      </c>
      <c r="G44" s="16" t="n">
        <v>3</v>
      </c>
      <c r="H44" s="16" t="n">
        <v>2</v>
      </c>
      <c r="I44" s="16" t="n">
        <v>2</v>
      </c>
      <c r="J44" s="20" t="n">
        <f aca="false">IF(COUNT(G44:I44)=3,G44*H44*I44,"")</f>
        <v>12</v>
      </c>
      <c r="K44" s="23"/>
      <c r="L44" s="25" t="str">
        <f aca="false">IF(J44="","",IF(OR(K44&lt;&gt;"",J44&gt;=48),"Tier 1",IF(J44&gt;=20,"Tier 2","Tier 3")))</f>
        <v>Tier 3</v>
      </c>
      <c r="M44" s="19" t="s">
        <v>420</v>
      </c>
      <c r="N44" s="23" t="s">
        <v>323</v>
      </c>
      <c r="O44" s="20" t="s">
        <v>436</v>
      </c>
      <c r="P44" s="16" t="s">
        <v>253</v>
      </c>
      <c r="Q44" s="23"/>
      <c r="R44" s="16" t="s">
        <v>236</v>
      </c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23"/>
      <c r="H45" s="23"/>
      <c r="I45" s="23"/>
      <c r="J45" s="13" t="str">
        <f aca="false">IF(COUNT(G45:I45)=3,G45*H45*I45,"")</f>
        <v/>
      </c>
      <c r="K45" s="23"/>
      <c r="L45" s="13" t="str">
        <f aca="false">IF(J45="","",IF(OR(K45&lt;&gt;"",J45&gt;=48),"Tier 1",IF(J45&gt;=20,"Tier 2","Tier 3")))</f>
        <v/>
      </c>
      <c r="M45" s="13"/>
      <c r="N45" s="23"/>
      <c r="O45" s="13"/>
      <c r="P45" s="23"/>
      <c r="Q45" s="23"/>
      <c r="R45" s="2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23"/>
      <c r="H46" s="23"/>
      <c r="I46" s="23"/>
      <c r="J46" s="13" t="str">
        <f aca="false">IF(COUNT(G46:I46)=3,G46*H46*I46,"")</f>
        <v/>
      </c>
      <c r="K46" s="23"/>
      <c r="L46" s="13" t="str">
        <f aca="false">IF(J46="","",IF(OR(K46&lt;&gt;"",J46&gt;=48),"Tier 1",IF(J46&gt;=20,"Tier 2","Tier 3")))</f>
        <v/>
      </c>
      <c r="M46" s="13"/>
      <c r="N46" s="23"/>
      <c r="O46" s="13"/>
      <c r="P46" s="23"/>
      <c r="Q46" s="23"/>
      <c r="R46" s="2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23"/>
      <c r="H47" s="23"/>
      <c r="I47" s="23"/>
      <c r="J47" s="13" t="str">
        <f aca="false">IF(COUNT(G47:I47)=3,G47*H47*I47,"")</f>
        <v/>
      </c>
      <c r="K47" s="23"/>
      <c r="L47" s="13" t="str">
        <f aca="false">IF(J47="","",IF(OR(K47&lt;&gt;"",J47&gt;=48),"Tier 1",IF(J47&gt;=20,"Tier 2","Tier 3")))</f>
        <v/>
      </c>
      <c r="M47" s="13"/>
      <c r="N47" s="23"/>
      <c r="O47" s="13"/>
      <c r="P47" s="23"/>
      <c r="Q47" s="23"/>
      <c r="R47" s="2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23"/>
      <c r="H48" s="23"/>
      <c r="I48" s="23"/>
      <c r="J48" s="13" t="str">
        <f aca="false">IF(COUNT(G48:I48)=3,G48*H48*I48,"")</f>
        <v/>
      </c>
      <c r="K48" s="23"/>
      <c r="L48" s="13" t="str">
        <f aca="false">IF(J48="","",IF(OR(K48&lt;&gt;"",J48&gt;=48),"Tier 1",IF(J48&gt;=20,"Tier 2","Tier 3")))</f>
        <v/>
      </c>
      <c r="M48" s="13"/>
      <c r="N48" s="23"/>
      <c r="O48" s="13"/>
      <c r="P48" s="23"/>
      <c r="Q48" s="23"/>
      <c r="R48" s="2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23"/>
      <c r="H49" s="23"/>
      <c r="I49" s="23"/>
      <c r="J49" s="13" t="str">
        <f aca="false">IF(COUNT(G49:I49)=3,G49*H49*I49,"")</f>
        <v/>
      </c>
      <c r="K49" s="23"/>
      <c r="L49" s="13" t="str">
        <f aca="false">IF(J49="","",IF(OR(K49&lt;&gt;"",J49&gt;=48),"Tier 1",IF(J49&gt;=20,"Tier 2","Tier 3")))</f>
        <v/>
      </c>
      <c r="M49" s="13"/>
      <c r="N49" s="23"/>
      <c r="O49" s="13"/>
      <c r="P49" s="23"/>
      <c r="Q49" s="23"/>
      <c r="R49" s="23"/>
    </row>
    <row r="51" customFormat="false" ht="15" hidden="false" customHeight="false" outlineLevel="0" collapsed="false">
      <c r="B51" s="3" t="s">
        <v>437</v>
      </c>
      <c r="C51" s="3" t="n">
        <f aca="false">COUNTIF(L5:L49,"Tier 1")</f>
        <v>35</v>
      </c>
    </row>
    <row r="52" customFormat="false" ht="15" hidden="false" customHeight="false" outlineLevel="0" collapsed="false">
      <c r="B52" s="3" t="s">
        <v>438</v>
      </c>
      <c r="C52" s="3" t="n">
        <f aca="false">COUNTIF(L5:L49,"Tier 2")</f>
        <v>1</v>
      </c>
    </row>
    <row r="53" customFormat="false" ht="15" hidden="false" customHeight="false" outlineLevel="0" collapsed="false">
      <c r="B53" s="3" t="s">
        <v>439</v>
      </c>
      <c r="C53" s="2" t="s">
        <v>440</v>
      </c>
    </row>
  </sheetData>
  <conditionalFormatting sqref="L5:L49">
    <cfRule type="cellIs" priority="2" operator="equal" aboveAverage="0" equalAverage="0" bottom="0" percent="0" rank="0" text="" dxfId="7">
      <formula>"Tier 1"</formula>
    </cfRule>
    <cfRule type="cellIs" priority="3" operator="equal" aboveAverage="0" equalAverage="0" bottom="0" percent="0" rank="0" text="" dxfId="10">
      <formula>"Tier 2"</formula>
    </cfRule>
    <cfRule type="cellIs" priority="4" operator="equal" aboveAverage="0" equalAverage="0" bottom="0" percent="0" rank="0" text="" dxfId="11">
      <formula>"Tier 3"</formula>
    </cfRule>
  </conditionalFormatting>
  <dataValidations count="3">
    <dataValidation allowBlank="true" errorStyle="stop" operator="between" showDropDown="false" showErrorMessage="false" showInputMessage="false" sqref="R5:R49" type="list">
      <formula1>"Draft,Signed,Scripted,Executed - pass,Executed - fail,Retest pass,Waived"</formula1>
      <formula2>0</formula2>
    </dataValidation>
    <dataValidation allowBlank="true" errorStyle="stop" operator="between" showDropDown="false" showErrorMessage="false" showInputMessage="false" sqref="P5:P49" type="list">
      <formula1>"Yes,No,Decide"</formula1>
      <formula2>0</formula2>
    </dataValidation>
    <dataValidation allowBlank="true" errorStyle="stop" operator="between" showDropDown="false" showErrorMessage="false" showInputMessage="false" sqref="G5:I4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5659"/>
    <pageSetUpPr fitToPage="tru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19.7" hidden="false" customHeight="false" outlineLevel="0" collapsed="false">
      <c r="A1" s="1" t="s">
        <v>441</v>
      </c>
    </row>
    <row r="2" customFormat="false" ht="15" hidden="false" customHeight="false" outlineLevel="0" collapsed="false">
      <c r="A2" s="2" t="s">
        <v>442</v>
      </c>
    </row>
    <row r="3" customFormat="false" ht="15" hidden="false" customHeight="false" outlineLevel="0" collapsed="false">
      <c r="A3" s="3" t="s">
        <v>443</v>
      </c>
      <c r="D3" s="26" t="n">
        <v>1.5</v>
      </c>
      <c r="F3" s="3" t="s">
        <v>444</v>
      </c>
      <c r="J3" s="27" t="n">
        <f aca="false">'Scaling Model'!C15</f>
        <v>2</v>
      </c>
    </row>
    <row r="5" customFormat="false" ht="57.75" hidden="false" customHeight="true" outlineLevel="0" collapsed="false">
      <c r="A5" s="8" t="s">
        <v>40</v>
      </c>
      <c r="B5" s="8" t="s">
        <v>210</v>
      </c>
      <c r="C5" s="8" t="s">
        <v>445</v>
      </c>
      <c r="D5" s="8" t="s">
        <v>446</v>
      </c>
      <c r="E5" s="8" t="s">
        <v>447</v>
      </c>
      <c r="F5" s="8" t="s">
        <v>448</v>
      </c>
      <c r="G5" s="8" t="s">
        <v>449</v>
      </c>
      <c r="H5" s="8" t="s">
        <v>450</v>
      </c>
      <c r="I5" s="8" t="s">
        <v>451</v>
      </c>
      <c r="J5" s="8" t="s">
        <v>452</v>
      </c>
      <c r="K5" s="8" t="s">
        <v>453</v>
      </c>
      <c r="L5" s="8" t="s">
        <v>454</v>
      </c>
      <c r="M5" s="8" t="s">
        <v>455</v>
      </c>
      <c r="N5" s="8" t="s">
        <v>456</v>
      </c>
      <c r="O5" s="8" t="s">
        <v>457</v>
      </c>
    </row>
    <row r="6" customFormat="false" ht="15" hidden="false" customHeight="false" outlineLevel="0" collapsed="false">
      <c r="A6" s="19" t="s">
        <v>225</v>
      </c>
      <c r="B6" s="19" t="s">
        <v>227</v>
      </c>
      <c r="C6" s="23" t="s">
        <v>458</v>
      </c>
      <c r="D6" s="28" t="n">
        <v>400</v>
      </c>
      <c r="E6" s="29" t="n">
        <v>1.8</v>
      </c>
      <c r="F6" s="30" t="n">
        <v>0.15</v>
      </c>
      <c r="G6" s="31" t="n">
        <f aca="false">IF(COUNT(D6:F6)=3,D6*E6*F6,"")</f>
        <v>108</v>
      </c>
      <c r="H6" s="32" t="n">
        <f aca="false">IF(G6="","",G6*$D$3)</f>
        <v>162</v>
      </c>
      <c r="I6" s="31" t="n">
        <f aca="false">IF(H6="","",H6/$J$3)</f>
        <v>81</v>
      </c>
      <c r="J6" s="31" t="n">
        <f aca="false">IF(H6="","",H6)</f>
        <v>162</v>
      </c>
      <c r="K6" s="29" t="n">
        <v>6</v>
      </c>
      <c r="L6" s="31" t="n">
        <f aca="false">IF(OR(H6="",K6=""),"",ROUNDUP(H6*K6/60,0))</f>
        <v>17</v>
      </c>
      <c r="M6" s="33" t="n">
        <v>2</v>
      </c>
      <c r="N6" s="31" t="n">
        <f aca="false">IF(OR(H6="",M6=""),"",H6*M6*4)</f>
        <v>1296</v>
      </c>
      <c r="O6" s="23" t="s">
        <v>459</v>
      </c>
    </row>
    <row r="7" customFormat="false" ht="15" hidden="false" customHeight="false" outlineLevel="0" collapsed="false">
      <c r="A7" s="13" t="s">
        <v>237</v>
      </c>
      <c r="B7" s="13" t="s">
        <v>238</v>
      </c>
      <c r="C7" s="23"/>
      <c r="D7" s="28"/>
      <c r="E7" s="29"/>
      <c r="F7" s="30"/>
      <c r="G7" s="34" t="str">
        <f aca="false">IF(COUNT(D7:F7)=3,D7*E7*F7,"")</f>
        <v/>
      </c>
      <c r="H7" s="35" t="str">
        <f aca="false">IF(G7="","",G7*$D$3)</f>
        <v/>
      </c>
      <c r="I7" s="34" t="str">
        <f aca="false">IF(H7="","",H7/$J$3)</f>
        <v/>
      </c>
      <c r="J7" s="34" t="str">
        <f aca="false">IF(H7="","",H7)</f>
        <v/>
      </c>
      <c r="K7" s="29"/>
      <c r="L7" s="34" t="str">
        <f aca="false">IF(OR(H7="",K7=""),"",ROUNDUP(H7*K7/60,0))</f>
        <v/>
      </c>
      <c r="M7" s="33"/>
      <c r="N7" s="34" t="str">
        <f aca="false">IF(OR(H7="",M7=""),"",H7*M7*4)</f>
        <v/>
      </c>
      <c r="O7" s="23" t="s">
        <v>460</v>
      </c>
    </row>
    <row r="8" customFormat="false" ht="15" hidden="false" customHeight="false" outlineLevel="0" collapsed="false">
      <c r="A8" s="19" t="s">
        <v>240</v>
      </c>
      <c r="B8" s="19" t="s">
        <v>241</v>
      </c>
      <c r="C8" s="23"/>
      <c r="D8" s="28"/>
      <c r="E8" s="29"/>
      <c r="F8" s="30"/>
      <c r="G8" s="31" t="str">
        <f aca="false">IF(COUNT(D8:F8)=3,D8*E8*F8,"")</f>
        <v/>
      </c>
      <c r="H8" s="32" t="str">
        <f aca="false">IF(G8="","",G8*$D$3)</f>
        <v/>
      </c>
      <c r="I8" s="31" t="str">
        <f aca="false">IF(H8="","",H8/$J$3)</f>
        <v/>
      </c>
      <c r="J8" s="31" t="str">
        <f aca="false">IF(H8="","",H8)</f>
        <v/>
      </c>
      <c r="K8" s="29"/>
      <c r="L8" s="31" t="str">
        <f aca="false">IF(OR(H8="",K8=""),"",ROUNDUP(H8*K8/60,0))</f>
        <v/>
      </c>
      <c r="M8" s="33"/>
      <c r="N8" s="31" t="str">
        <f aca="false">IF(OR(H8="",M8=""),"",H8*M8*4)</f>
        <v/>
      </c>
      <c r="O8" s="23" t="s">
        <v>460</v>
      </c>
    </row>
    <row r="9" customFormat="false" ht="15" hidden="false" customHeight="false" outlineLevel="0" collapsed="false">
      <c r="A9" s="13" t="s">
        <v>248</v>
      </c>
      <c r="B9" s="13" t="s">
        <v>249</v>
      </c>
      <c r="C9" s="23"/>
      <c r="D9" s="28"/>
      <c r="E9" s="29"/>
      <c r="F9" s="30"/>
      <c r="G9" s="34" t="str">
        <f aca="false">IF(COUNT(D9:F9)=3,D9*E9*F9,"")</f>
        <v/>
      </c>
      <c r="H9" s="35" t="str">
        <f aca="false">IF(G9="","",G9*$D$3)</f>
        <v/>
      </c>
      <c r="I9" s="34" t="str">
        <f aca="false">IF(H9="","",H9/$J$3)</f>
        <v/>
      </c>
      <c r="J9" s="34" t="str">
        <f aca="false">IF(H9="","",H9)</f>
        <v/>
      </c>
      <c r="K9" s="29"/>
      <c r="L9" s="34" t="str">
        <f aca="false">IF(OR(H9="",K9=""),"",ROUNDUP(H9*K9/60,0))</f>
        <v/>
      </c>
      <c r="M9" s="33"/>
      <c r="N9" s="34" t="str">
        <f aca="false">IF(OR(H9="",M9=""),"",H9*M9*4)</f>
        <v/>
      </c>
      <c r="O9" s="23" t="s">
        <v>460</v>
      </c>
    </row>
    <row r="10" customFormat="false" ht="15" hidden="false" customHeight="false" outlineLevel="0" collapsed="false">
      <c r="A10" s="19" t="s">
        <v>254</v>
      </c>
      <c r="B10" s="19" t="s">
        <v>255</v>
      </c>
      <c r="C10" s="23"/>
      <c r="D10" s="28"/>
      <c r="E10" s="29"/>
      <c r="F10" s="30"/>
      <c r="G10" s="31" t="str">
        <f aca="false">IF(COUNT(D10:F10)=3,D10*E10*F10,"")</f>
        <v/>
      </c>
      <c r="H10" s="32" t="str">
        <f aca="false">IF(G10="","",G10*$D$3)</f>
        <v/>
      </c>
      <c r="I10" s="31" t="str">
        <f aca="false">IF(H10="","",H10/$J$3)</f>
        <v/>
      </c>
      <c r="J10" s="31" t="str">
        <f aca="false">IF(H10="","",H10)</f>
        <v/>
      </c>
      <c r="K10" s="29"/>
      <c r="L10" s="31" t="str">
        <f aca="false">IF(OR(H10="",K10=""),"",ROUNDUP(H10*K10/60,0))</f>
        <v/>
      </c>
      <c r="M10" s="33"/>
      <c r="N10" s="31" t="str">
        <f aca="false">IF(OR(H10="",M10=""),"",H10*M10*4)</f>
        <v/>
      </c>
      <c r="O10" s="23" t="s">
        <v>460</v>
      </c>
    </row>
    <row r="11" customFormat="false" ht="15" hidden="false" customHeight="false" outlineLevel="0" collapsed="false">
      <c r="A11" s="13" t="s">
        <v>261</v>
      </c>
      <c r="B11" s="13" t="s">
        <v>262</v>
      </c>
      <c r="C11" s="23"/>
      <c r="D11" s="28"/>
      <c r="E11" s="29"/>
      <c r="F11" s="30"/>
      <c r="G11" s="34" t="str">
        <f aca="false">IF(COUNT(D11:F11)=3,D11*E11*F11,"")</f>
        <v/>
      </c>
      <c r="H11" s="35" t="str">
        <f aca="false">IF(G11="","",G11*$D$3)</f>
        <v/>
      </c>
      <c r="I11" s="34" t="str">
        <f aca="false">IF(H11="","",H11/$J$3)</f>
        <v/>
      </c>
      <c r="J11" s="34" t="str">
        <f aca="false">IF(H11="","",H11)</f>
        <v/>
      </c>
      <c r="K11" s="29"/>
      <c r="L11" s="34" t="str">
        <f aca="false">IF(OR(H11="",K11=""),"",ROUNDUP(H11*K11/60,0))</f>
        <v/>
      </c>
      <c r="M11" s="33"/>
      <c r="N11" s="34" t="str">
        <f aca="false">IF(OR(H11="",M11=""),"",H11*M11*4)</f>
        <v/>
      </c>
      <c r="O11" s="23" t="s">
        <v>460</v>
      </c>
    </row>
    <row r="12" customFormat="false" ht="15" hidden="false" customHeight="false" outlineLevel="0" collapsed="false">
      <c r="A12" s="19" t="s">
        <v>267</v>
      </c>
      <c r="B12" s="19" t="s">
        <v>268</v>
      </c>
      <c r="C12" s="23"/>
      <c r="D12" s="28"/>
      <c r="E12" s="29"/>
      <c r="F12" s="30"/>
      <c r="G12" s="31" t="str">
        <f aca="false">IF(COUNT(D12:F12)=3,D12*E12*F12,"")</f>
        <v/>
      </c>
      <c r="H12" s="32" t="str">
        <f aca="false">IF(G12="","",G12*$D$3)</f>
        <v/>
      </c>
      <c r="I12" s="31" t="str">
        <f aca="false">IF(H12="","",H12/$J$3)</f>
        <v/>
      </c>
      <c r="J12" s="31" t="str">
        <f aca="false">IF(H12="","",H12)</f>
        <v/>
      </c>
      <c r="K12" s="29"/>
      <c r="L12" s="31" t="str">
        <f aca="false">IF(OR(H12="",K12=""),"",ROUNDUP(H12*K12/60,0))</f>
        <v/>
      </c>
      <c r="M12" s="33"/>
      <c r="N12" s="31" t="str">
        <f aca="false">IF(OR(H12="",M12=""),"",H12*M12*4)</f>
        <v/>
      </c>
      <c r="O12" s="23" t="s">
        <v>460</v>
      </c>
    </row>
    <row r="13" customFormat="false" ht="15" hidden="false" customHeight="false" outlineLevel="0" collapsed="false">
      <c r="A13" s="13" t="s">
        <v>274</v>
      </c>
      <c r="B13" s="13" t="s">
        <v>275</v>
      </c>
      <c r="C13" s="23"/>
      <c r="D13" s="28"/>
      <c r="E13" s="29"/>
      <c r="F13" s="30"/>
      <c r="G13" s="34" t="str">
        <f aca="false">IF(COUNT(D13:F13)=3,D13*E13*F13,"")</f>
        <v/>
      </c>
      <c r="H13" s="35" t="str">
        <f aca="false">IF(G13="","",G13*$D$3)</f>
        <v/>
      </c>
      <c r="I13" s="34" t="str">
        <f aca="false">IF(H13="","",H13/$J$3)</f>
        <v/>
      </c>
      <c r="J13" s="34" t="str">
        <f aca="false">IF(H13="","",H13)</f>
        <v/>
      </c>
      <c r="K13" s="29"/>
      <c r="L13" s="34" t="str">
        <f aca="false">IF(OR(H13="",K13=""),"",ROUNDUP(H13*K13/60,0))</f>
        <v/>
      </c>
      <c r="M13" s="33"/>
      <c r="N13" s="34" t="str">
        <f aca="false">IF(OR(H13="",M13=""),"",H13*M13*4)</f>
        <v/>
      </c>
      <c r="O13" s="23" t="s">
        <v>460</v>
      </c>
    </row>
    <row r="14" customFormat="false" ht="15" hidden="false" customHeight="false" outlineLevel="0" collapsed="false">
      <c r="A14" s="19" t="s">
        <v>280</v>
      </c>
      <c r="B14" s="19" t="s">
        <v>282</v>
      </c>
      <c r="C14" s="23" t="s">
        <v>461</v>
      </c>
      <c r="D14" s="28" t="n">
        <v>250000</v>
      </c>
      <c r="E14" s="29" t="n">
        <v>4</v>
      </c>
      <c r="F14" s="30" t="n">
        <v>0.2</v>
      </c>
      <c r="G14" s="31" t="n">
        <f aca="false">IF(COUNT(D14:F14)=3,D14*E14*F14,"")</f>
        <v>200000</v>
      </c>
      <c r="H14" s="32" t="n">
        <f aca="false">IF(G14="","",G14*$D$3)</f>
        <v>300000</v>
      </c>
      <c r="I14" s="31" t="n">
        <f aca="false">IF(H14="","",H14/$J$3)</f>
        <v>150000</v>
      </c>
      <c r="J14" s="31" t="n">
        <f aca="false">IF(H14="","",H14)</f>
        <v>300000</v>
      </c>
      <c r="K14" s="29"/>
      <c r="L14" s="31" t="str">
        <f aca="false">IF(OR(H14="",K14=""),"",ROUNDUP(H14*K14/60,0))</f>
        <v/>
      </c>
      <c r="M14" s="33" t="n">
        <v>4</v>
      </c>
      <c r="N14" s="31" t="n">
        <f aca="false">IF(OR(H14="",M14=""),"",H14*M14*4)</f>
        <v>4800000</v>
      </c>
      <c r="O14" s="23" t="s">
        <v>459</v>
      </c>
    </row>
    <row r="15" customFormat="false" ht="15" hidden="false" customHeight="false" outlineLevel="0" collapsed="false">
      <c r="A15" s="13" t="s">
        <v>288</v>
      </c>
      <c r="B15" s="13" t="s">
        <v>289</v>
      </c>
      <c r="C15" s="23"/>
      <c r="D15" s="28"/>
      <c r="E15" s="29"/>
      <c r="F15" s="30"/>
      <c r="G15" s="34" t="str">
        <f aca="false">IF(COUNT(D15:F15)=3,D15*E15*F15,"")</f>
        <v/>
      </c>
      <c r="H15" s="35" t="str">
        <f aca="false">IF(G15="","",G15*$D$3)</f>
        <v/>
      </c>
      <c r="I15" s="34" t="str">
        <f aca="false">IF(H15="","",H15/$J$3)</f>
        <v/>
      </c>
      <c r="J15" s="34" t="str">
        <f aca="false">IF(H15="","",H15)</f>
        <v/>
      </c>
      <c r="K15" s="29"/>
      <c r="L15" s="34" t="str">
        <f aca="false">IF(OR(H15="",K15=""),"",ROUNDUP(H15*K15/60,0))</f>
        <v/>
      </c>
      <c r="M15" s="33"/>
      <c r="N15" s="34" t="str">
        <f aca="false">IF(OR(H15="",M15=""),"",H15*M15*4)</f>
        <v/>
      </c>
      <c r="O15" s="23" t="s">
        <v>460</v>
      </c>
    </row>
    <row r="16" customFormat="false" ht="15" hidden="false" customHeight="false" outlineLevel="0" collapsed="false">
      <c r="A16" s="19" t="s">
        <v>293</v>
      </c>
      <c r="B16" s="19" t="s">
        <v>294</v>
      </c>
      <c r="C16" s="23"/>
      <c r="D16" s="28"/>
      <c r="E16" s="29"/>
      <c r="F16" s="30"/>
      <c r="G16" s="31" t="str">
        <f aca="false">IF(COUNT(D16:F16)=3,D16*E16*F16,"")</f>
        <v/>
      </c>
      <c r="H16" s="32" t="str">
        <f aca="false">IF(G16="","",G16*$D$3)</f>
        <v/>
      </c>
      <c r="I16" s="31" t="str">
        <f aca="false">IF(H16="","",H16/$J$3)</f>
        <v/>
      </c>
      <c r="J16" s="31" t="str">
        <f aca="false">IF(H16="","",H16)</f>
        <v/>
      </c>
      <c r="K16" s="29"/>
      <c r="L16" s="31" t="str">
        <f aca="false">IF(OR(H16="",K16=""),"",ROUNDUP(H16*K16/60,0))</f>
        <v/>
      </c>
      <c r="M16" s="33"/>
      <c r="N16" s="31" t="str">
        <f aca="false">IF(OR(H16="",M16=""),"",H16*M16*4)</f>
        <v/>
      </c>
      <c r="O16" s="23" t="s">
        <v>460</v>
      </c>
    </row>
    <row r="17" customFormat="false" ht="15" hidden="false" customHeight="false" outlineLevel="0" collapsed="false">
      <c r="A17" s="13" t="s">
        <v>299</v>
      </c>
      <c r="B17" s="13" t="s">
        <v>301</v>
      </c>
      <c r="C17" s="23"/>
      <c r="D17" s="28"/>
      <c r="E17" s="29"/>
      <c r="F17" s="30"/>
      <c r="G17" s="34" t="str">
        <f aca="false">IF(COUNT(D17:F17)=3,D17*E17*F17,"")</f>
        <v/>
      </c>
      <c r="H17" s="35" t="str">
        <f aca="false">IF(G17="","",G17*$D$3)</f>
        <v/>
      </c>
      <c r="I17" s="34" t="str">
        <f aca="false">IF(H17="","",H17/$J$3)</f>
        <v/>
      </c>
      <c r="J17" s="34" t="str">
        <f aca="false">IF(H17="","",H17)</f>
        <v/>
      </c>
      <c r="K17" s="29"/>
      <c r="L17" s="34" t="str">
        <f aca="false">IF(OR(H17="",K17=""),"",ROUNDUP(H17*K17/60,0))</f>
        <v/>
      </c>
      <c r="M17" s="33"/>
      <c r="N17" s="34" t="str">
        <f aca="false">IF(OR(H17="",M17=""),"",H17*M17*4)</f>
        <v/>
      </c>
      <c r="O17" s="23" t="s">
        <v>460</v>
      </c>
    </row>
    <row r="18" customFormat="false" ht="15" hidden="false" customHeight="false" outlineLevel="0" collapsed="false">
      <c r="A18" s="19" t="s">
        <v>304</v>
      </c>
      <c r="B18" s="19" t="s">
        <v>305</v>
      </c>
      <c r="C18" s="23"/>
      <c r="D18" s="28"/>
      <c r="E18" s="29"/>
      <c r="F18" s="30"/>
      <c r="G18" s="31" t="str">
        <f aca="false">IF(COUNT(D18:F18)=3,D18*E18*F18,"")</f>
        <v/>
      </c>
      <c r="H18" s="32" t="str">
        <f aca="false">IF(G18="","",G18*$D$3)</f>
        <v/>
      </c>
      <c r="I18" s="31" t="str">
        <f aca="false">IF(H18="","",H18/$J$3)</f>
        <v/>
      </c>
      <c r="J18" s="31" t="str">
        <f aca="false">IF(H18="","",H18)</f>
        <v/>
      </c>
      <c r="K18" s="29"/>
      <c r="L18" s="31" t="str">
        <f aca="false">IF(OR(H18="",K18=""),"",ROUNDUP(H18*K18/60,0))</f>
        <v/>
      </c>
      <c r="M18" s="33"/>
      <c r="N18" s="31" t="str">
        <f aca="false">IF(OR(H18="",M18=""),"",H18*M18*4)</f>
        <v/>
      </c>
      <c r="O18" s="23" t="s">
        <v>460</v>
      </c>
    </row>
    <row r="19" customFormat="false" ht="15" hidden="false" customHeight="false" outlineLevel="0" collapsed="false">
      <c r="A19" s="13" t="s">
        <v>310</v>
      </c>
      <c r="B19" s="13" t="s">
        <v>311</v>
      </c>
      <c r="C19" s="23"/>
      <c r="D19" s="28"/>
      <c r="E19" s="29"/>
      <c r="F19" s="30"/>
      <c r="G19" s="34" t="str">
        <f aca="false">IF(COUNT(D19:F19)=3,D19*E19*F19,"")</f>
        <v/>
      </c>
      <c r="H19" s="35" t="str">
        <f aca="false">IF(G19="","",G19*$D$3)</f>
        <v/>
      </c>
      <c r="I19" s="34" t="str">
        <f aca="false">IF(H19="","",H19/$J$3)</f>
        <v/>
      </c>
      <c r="J19" s="34" t="str">
        <f aca="false">IF(H19="","",H19)</f>
        <v/>
      </c>
      <c r="K19" s="29"/>
      <c r="L19" s="34" t="str">
        <f aca="false">IF(OR(H19="",K19=""),"",ROUNDUP(H19*K19/60,0))</f>
        <v/>
      </c>
      <c r="M19" s="33"/>
      <c r="N19" s="34" t="str">
        <f aca="false">IF(OR(H19="",M19=""),"",H19*M19*4)</f>
        <v/>
      </c>
      <c r="O19" s="23" t="s">
        <v>460</v>
      </c>
    </row>
    <row r="20" customFormat="false" ht="15" hidden="false" customHeight="false" outlineLevel="0" collapsed="false">
      <c r="A20" s="19" t="s">
        <v>315</v>
      </c>
      <c r="B20" s="19" t="s">
        <v>316</v>
      </c>
      <c r="C20" s="23"/>
      <c r="D20" s="28"/>
      <c r="E20" s="29"/>
      <c r="F20" s="30"/>
      <c r="G20" s="31" t="str">
        <f aca="false">IF(COUNT(D20:F20)=3,D20*E20*F20,"")</f>
        <v/>
      </c>
      <c r="H20" s="32" t="str">
        <f aca="false">IF(G20="","",G20*$D$3)</f>
        <v/>
      </c>
      <c r="I20" s="31" t="str">
        <f aca="false">IF(H20="","",H20/$J$3)</f>
        <v/>
      </c>
      <c r="J20" s="31" t="str">
        <f aca="false">IF(H20="","",H20)</f>
        <v/>
      </c>
      <c r="K20" s="29"/>
      <c r="L20" s="31" t="str">
        <f aca="false">IF(OR(H20="",K20=""),"",ROUNDUP(H20*K20/60,0))</f>
        <v/>
      </c>
      <c r="M20" s="33"/>
      <c r="N20" s="31" t="str">
        <f aca="false">IF(OR(H20="",M20=""),"",H20*M20*4)</f>
        <v/>
      </c>
      <c r="O20" s="23" t="s">
        <v>460</v>
      </c>
    </row>
    <row r="21" customFormat="false" ht="15" hidden="false" customHeight="false" outlineLevel="0" collapsed="false">
      <c r="A21" s="13" t="s">
        <v>318</v>
      </c>
      <c r="B21" s="13" t="s">
        <v>320</v>
      </c>
      <c r="C21" s="23"/>
      <c r="D21" s="28"/>
      <c r="E21" s="29"/>
      <c r="F21" s="30"/>
      <c r="G21" s="34" t="str">
        <f aca="false">IF(COUNT(D21:F21)=3,D21*E21*F21,"")</f>
        <v/>
      </c>
      <c r="H21" s="35" t="str">
        <f aca="false">IF(G21="","",G21*$D$3)</f>
        <v/>
      </c>
      <c r="I21" s="34" t="str">
        <f aca="false">IF(H21="","",H21/$J$3)</f>
        <v/>
      </c>
      <c r="J21" s="34" t="str">
        <f aca="false">IF(H21="","",H21)</f>
        <v/>
      </c>
      <c r="K21" s="29"/>
      <c r="L21" s="34" t="str">
        <f aca="false">IF(OR(H21="",K21=""),"",ROUNDUP(H21*K21/60,0))</f>
        <v/>
      </c>
      <c r="M21" s="33"/>
      <c r="N21" s="34" t="str">
        <f aca="false">IF(OR(H21="",M21=""),"",H21*M21*4)</f>
        <v/>
      </c>
      <c r="O21" s="23" t="s">
        <v>460</v>
      </c>
    </row>
    <row r="22" customFormat="false" ht="15" hidden="false" customHeight="false" outlineLevel="0" collapsed="false">
      <c r="A22" s="19" t="s">
        <v>324</v>
      </c>
      <c r="B22" s="19" t="s">
        <v>325</v>
      </c>
      <c r="C22" s="23"/>
      <c r="D22" s="28"/>
      <c r="E22" s="29"/>
      <c r="F22" s="30"/>
      <c r="G22" s="31" t="str">
        <f aca="false">IF(COUNT(D22:F22)=3,D22*E22*F22,"")</f>
        <v/>
      </c>
      <c r="H22" s="32" t="str">
        <f aca="false">IF(G22="","",G22*$D$3)</f>
        <v/>
      </c>
      <c r="I22" s="31" t="str">
        <f aca="false">IF(H22="","",H22/$J$3)</f>
        <v/>
      </c>
      <c r="J22" s="31" t="str">
        <f aca="false">IF(H22="","",H22)</f>
        <v/>
      </c>
      <c r="K22" s="29"/>
      <c r="L22" s="31" t="str">
        <f aca="false">IF(OR(H22="",K22=""),"",ROUNDUP(H22*K22/60,0))</f>
        <v/>
      </c>
      <c r="M22" s="33"/>
      <c r="N22" s="31" t="str">
        <f aca="false">IF(OR(H22="",M22=""),"",H22*M22*4)</f>
        <v/>
      </c>
      <c r="O22" s="23" t="s">
        <v>460</v>
      </c>
    </row>
    <row r="23" customFormat="false" ht="15" hidden="false" customHeight="false" outlineLevel="0" collapsed="false">
      <c r="A23" s="13" t="s">
        <v>327</v>
      </c>
      <c r="B23" s="13" t="s">
        <v>328</v>
      </c>
      <c r="C23" s="23" t="s">
        <v>462</v>
      </c>
      <c r="D23" s="28" t="n">
        <v>3000</v>
      </c>
      <c r="E23" s="29" t="n">
        <v>1.5</v>
      </c>
      <c r="F23" s="30" t="n">
        <v>0.18</v>
      </c>
      <c r="G23" s="34" t="n">
        <f aca="false">IF(COUNT(D23:F23)=3,D23*E23*F23,"")</f>
        <v>810</v>
      </c>
      <c r="H23" s="35" t="n">
        <f aca="false">IF(G23="","",G23*$D$3)</f>
        <v>1215</v>
      </c>
      <c r="I23" s="34" t="n">
        <f aca="false">IF(H23="","",H23/$J$3)</f>
        <v>607.5</v>
      </c>
      <c r="J23" s="34" t="n">
        <f aca="false">IF(H23="","",H23)</f>
        <v>1215</v>
      </c>
      <c r="K23" s="29"/>
      <c r="L23" s="34" t="str">
        <f aca="false">IF(OR(H23="",K23=""),"",ROUNDUP(H23*K23/60,0))</f>
        <v/>
      </c>
      <c r="M23" s="33" t="n">
        <v>2</v>
      </c>
      <c r="N23" s="34" t="n">
        <f aca="false">IF(OR(H23="",M23=""),"",H23*M23*4)</f>
        <v>9720</v>
      </c>
      <c r="O23" s="23" t="s">
        <v>459</v>
      </c>
    </row>
    <row r="24" customFormat="false" ht="15" hidden="false" customHeight="false" outlineLevel="0" collapsed="false">
      <c r="A24" s="19" t="s">
        <v>334</v>
      </c>
      <c r="B24" s="19" t="s">
        <v>335</v>
      </c>
      <c r="C24" s="23"/>
      <c r="D24" s="28"/>
      <c r="E24" s="29"/>
      <c r="F24" s="30"/>
      <c r="G24" s="31" t="str">
        <f aca="false">IF(COUNT(D24:F24)=3,D24*E24*F24,"")</f>
        <v/>
      </c>
      <c r="H24" s="32" t="str">
        <f aca="false">IF(G24="","",G24*$D$3)</f>
        <v/>
      </c>
      <c r="I24" s="31" t="str">
        <f aca="false">IF(H24="","",H24/$J$3)</f>
        <v/>
      </c>
      <c r="J24" s="31" t="str">
        <f aca="false">IF(H24="","",H24)</f>
        <v/>
      </c>
      <c r="K24" s="29"/>
      <c r="L24" s="31" t="str">
        <f aca="false">IF(OR(H24="",K24=""),"",ROUNDUP(H24*K24/60,0))</f>
        <v/>
      </c>
      <c r="M24" s="33"/>
      <c r="N24" s="31" t="str">
        <f aca="false">IF(OR(H24="",M24=""),"",H24*M24*4)</f>
        <v/>
      </c>
      <c r="O24" s="23" t="s">
        <v>460</v>
      </c>
    </row>
    <row r="25" customFormat="false" ht="15" hidden="false" customHeight="false" outlineLevel="0" collapsed="false">
      <c r="A25" s="13" t="s">
        <v>339</v>
      </c>
      <c r="B25" s="13" t="s">
        <v>340</v>
      </c>
      <c r="C25" s="23"/>
      <c r="D25" s="28"/>
      <c r="E25" s="29"/>
      <c r="F25" s="30"/>
      <c r="G25" s="34" t="str">
        <f aca="false">IF(COUNT(D25:F25)=3,D25*E25*F25,"")</f>
        <v/>
      </c>
      <c r="H25" s="35" t="str">
        <f aca="false">IF(G25="","",G25*$D$3)</f>
        <v/>
      </c>
      <c r="I25" s="34" t="str">
        <f aca="false">IF(H25="","",H25/$J$3)</f>
        <v/>
      </c>
      <c r="J25" s="34" t="str">
        <f aca="false">IF(H25="","",H25)</f>
        <v/>
      </c>
      <c r="K25" s="29"/>
      <c r="L25" s="34" t="str">
        <f aca="false">IF(OR(H25="",K25=""),"",ROUNDUP(H25*K25/60,0))</f>
        <v/>
      </c>
      <c r="M25" s="33"/>
      <c r="N25" s="34" t="str">
        <f aca="false">IF(OR(H25="",M25=""),"",H25*M25*4)</f>
        <v/>
      </c>
      <c r="O25" s="23" t="s">
        <v>460</v>
      </c>
    </row>
    <row r="26" customFormat="false" ht="15" hidden="false" customHeight="false" outlineLevel="0" collapsed="false">
      <c r="A26" s="19" t="s">
        <v>343</v>
      </c>
      <c r="B26" s="19" t="s">
        <v>344</v>
      </c>
      <c r="C26" s="23"/>
      <c r="D26" s="28"/>
      <c r="E26" s="29"/>
      <c r="F26" s="30"/>
      <c r="G26" s="31" t="str">
        <f aca="false">IF(COUNT(D26:F26)=3,D26*E26*F26,"")</f>
        <v/>
      </c>
      <c r="H26" s="32" t="str">
        <f aca="false">IF(G26="","",G26*$D$3)</f>
        <v/>
      </c>
      <c r="I26" s="31" t="str">
        <f aca="false">IF(H26="","",H26/$J$3)</f>
        <v/>
      </c>
      <c r="J26" s="31" t="str">
        <f aca="false">IF(H26="","",H26)</f>
        <v/>
      </c>
      <c r="K26" s="29"/>
      <c r="L26" s="31" t="str">
        <f aca="false">IF(OR(H26="",K26=""),"",ROUNDUP(H26*K26/60,0))</f>
        <v/>
      </c>
      <c r="M26" s="33"/>
      <c r="N26" s="31" t="str">
        <f aca="false">IF(OR(H26="",M26=""),"",H26*M26*4)</f>
        <v/>
      </c>
      <c r="O26" s="23" t="s">
        <v>460</v>
      </c>
    </row>
    <row r="27" customFormat="false" ht="15" hidden="false" customHeight="false" outlineLevel="0" collapsed="false">
      <c r="A27" s="13" t="s">
        <v>347</v>
      </c>
      <c r="B27" s="13" t="s">
        <v>349</v>
      </c>
      <c r="C27" s="23"/>
      <c r="D27" s="28"/>
      <c r="E27" s="29"/>
      <c r="F27" s="30"/>
      <c r="G27" s="34" t="str">
        <f aca="false">IF(COUNT(D27:F27)=3,D27*E27*F27,"")</f>
        <v/>
      </c>
      <c r="H27" s="35" t="str">
        <f aca="false">IF(G27="","",G27*$D$3)</f>
        <v/>
      </c>
      <c r="I27" s="34" t="str">
        <f aca="false">IF(H27="","",H27/$J$3)</f>
        <v/>
      </c>
      <c r="J27" s="34" t="str">
        <f aca="false">IF(H27="","",H27)</f>
        <v/>
      </c>
      <c r="K27" s="29"/>
      <c r="L27" s="34" t="str">
        <f aca="false">IF(OR(H27="",K27=""),"",ROUNDUP(H27*K27/60,0))</f>
        <v/>
      </c>
      <c r="M27" s="33"/>
      <c r="N27" s="34" t="str">
        <f aca="false">IF(OR(H27="",M27=""),"",H27*M27*4)</f>
        <v/>
      </c>
      <c r="O27" s="23" t="s">
        <v>460</v>
      </c>
    </row>
    <row r="28" customFormat="false" ht="15" hidden="false" customHeight="false" outlineLevel="0" collapsed="false">
      <c r="A28" s="19" t="s">
        <v>353</v>
      </c>
      <c r="B28" s="19" t="s">
        <v>354</v>
      </c>
      <c r="C28" s="23"/>
      <c r="D28" s="28"/>
      <c r="E28" s="29"/>
      <c r="F28" s="30"/>
      <c r="G28" s="31" t="str">
        <f aca="false">IF(COUNT(D28:F28)=3,D28*E28*F28,"")</f>
        <v/>
      </c>
      <c r="H28" s="32" t="str">
        <f aca="false">IF(G28="","",G28*$D$3)</f>
        <v/>
      </c>
      <c r="I28" s="31" t="str">
        <f aca="false">IF(H28="","",H28/$J$3)</f>
        <v/>
      </c>
      <c r="J28" s="31" t="str">
        <f aca="false">IF(H28="","",H28)</f>
        <v/>
      </c>
      <c r="K28" s="29"/>
      <c r="L28" s="31" t="str">
        <f aca="false">IF(OR(H28="",K28=""),"",ROUNDUP(H28*K28/60,0))</f>
        <v/>
      </c>
      <c r="M28" s="33"/>
      <c r="N28" s="31" t="str">
        <f aca="false">IF(OR(H28="",M28=""),"",H28*M28*4)</f>
        <v/>
      </c>
      <c r="O28" s="23" t="s">
        <v>460</v>
      </c>
    </row>
    <row r="29" customFormat="false" ht="15" hidden="false" customHeight="false" outlineLevel="0" collapsed="false">
      <c r="A29" s="13" t="s">
        <v>356</v>
      </c>
      <c r="B29" s="13" t="s">
        <v>357</v>
      </c>
      <c r="C29" s="23"/>
      <c r="D29" s="28"/>
      <c r="E29" s="29"/>
      <c r="F29" s="30"/>
      <c r="G29" s="34" t="str">
        <f aca="false">IF(COUNT(D29:F29)=3,D29*E29*F29,"")</f>
        <v/>
      </c>
      <c r="H29" s="35" t="str">
        <f aca="false">IF(G29="","",G29*$D$3)</f>
        <v/>
      </c>
      <c r="I29" s="34" t="str">
        <f aca="false">IF(H29="","",H29/$J$3)</f>
        <v/>
      </c>
      <c r="J29" s="34" t="str">
        <f aca="false">IF(H29="","",H29)</f>
        <v/>
      </c>
      <c r="K29" s="29"/>
      <c r="L29" s="34" t="str">
        <f aca="false">IF(OR(H29="",K29=""),"",ROUNDUP(H29*K29/60,0))</f>
        <v/>
      </c>
      <c r="M29" s="33"/>
      <c r="N29" s="34" t="str">
        <f aca="false">IF(OR(H29="",M29=""),"",H29*M29*4)</f>
        <v/>
      </c>
      <c r="O29" s="23" t="s">
        <v>460</v>
      </c>
    </row>
    <row r="30" customFormat="false" ht="15" hidden="false" customHeight="false" outlineLevel="0" collapsed="false">
      <c r="A30" s="19" t="s">
        <v>359</v>
      </c>
      <c r="B30" s="19" t="s">
        <v>361</v>
      </c>
      <c r="C30" s="23"/>
      <c r="D30" s="28"/>
      <c r="E30" s="29"/>
      <c r="F30" s="30"/>
      <c r="G30" s="31" t="str">
        <f aca="false">IF(COUNT(D30:F30)=3,D30*E30*F30,"")</f>
        <v/>
      </c>
      <c r="H30" s="32" t="str">
        <f aca="false">IF(G30="","",G30*$D$3)</f>
        <v/>
      </c>
      <c r="I30" s="31" t="str">
        <f aca="false">IF(H30="","",H30/$J$3)</f>
        <v/>
      </c>
      <c r="J30" s="31" t="str">
        <f aca="false">IF(H30="","",H30)</f>
        <v/>
      </c>
      <c r="K30" s="29"/>
      <c r="L30" s="31" t="str">
        <f aca="false">IF(OR(H30="",K30=""),"",ROUNDUP(H30*K30/60,0))</f>
        <v/>
      </c>
      <c r="M30" s="33"/>
      <c r="N30" s="31" t="str">
        <f aca="false">IF(OR(H30="",M30=""),"",H30*M30*4)</f>
        <v/>
      </c>
      <c r="O30" s="23" t="s">
        <v>460</v>
      </c>
    </row>
    <row r="31" customFormat="false" ht="15" hidden="false" customHeight="false" outlineLevel="0" collapsed="false">
      <c r="A31" s="13" t="s">
        <v>365</v>
      </c>
      <c r="B31" s="13" t="s">
        <v>366</v>
      </c>
      <c r="C31" s="23"/>
      <c r="D31" s="28"/>
      <c r="E31" s="29"/>
      <c r="F31" s="30"/>
      <c r="G31" s="34" t="str">
        <f aca="false">IF(COUNT(D31:F31)=3,D31*E31*F31,"")</f>
        <v/>
      </c>
      <c r="H31" s="35" t="str">
        <f aca="false">IF(G31="","",G31*$D$3)</f>
        <v/>
      </c>
      <c r="I31" s="34" t="str">
        <f aca="false">IF(H31="","",H31/$J$3)</f>
        <v/>
      </c>
      <c r="J31" s="34" t="str">
        <f aca="false">IF(H31="","",H31)</f>
        <v/>
      </c>
      <c r="K31" s="29"/>
      <c r="L31" s="34" t="str">
        <f aca="false">IF(OR(H31="",K31=""),"",ROUNDUP(H31*K31/60,0))</f>
        <v/>
      </c>
      <c r="M31" s="33"/>
      <c r="N31" s="34" t="str">
        <f aca="false">IF(OR(H31="",M31=""),"",H31*M31*4)</f>
        <v/>
      </c>
      <c r="O31" s="23" t="s">
        <v>460</v>
      </c>
    </row>
    <row r="32" customFormat="false" ht="15" hidden="false" customHeight="false" outlineLevel="0" collapsed="false">
      <c r="A32" s="19" t="s">
        <v>371</v>
      </c>
      <c r="B32" s="19" t="s">
        <v>372</v>
      </c>
      <c r="C32" s="23"/>
      <c r="D32" s="28"/>
      <c r="E32" s="29"/>
      <c r="F32" s="30"/>
      <c r="G32" s="31" t="str">
        <f aca="false">IF(COUNT(D32:F32)=3,D32*E32*F32,"")</f>
        <v/>
      </c>
      <c r="H32" s="32" t="str">
        <f aca="false">IF(G32="","",G32*$D$3)</f>
        <v/>
      </c>
      <c r="I32" s="31" t="str">
        <f aca="false">IF(H32="","",H32/$J$3)</f>
        <v/>
      </c>
      <c r="J32" s="31" t="str">
        <f aca="false">IF(H32="","",H32)</f>
        <v/>
      </c>
      <c r="K32" s="29"/>
      <c r="L32" s="31" t="str">
        <f aca="false">IF(OR(H32="",K32=""),"",ROUNDUP(H32*K32/60,0))</f>
        <v/>
      </c>
      <c r="M32" s="33"/>
      <c r="N32" s="31" t="str">
        <f aca="false">IF(OR(H32="",M32=""),"",H32*M32*4)</f>
        <v/>
      </c>
      <c r="O32" s="23" t="s">
        <v>460</v>
      </c>
    </row>
    <row r="33" customFormat="false" ht="15" hidden="false" customHeight="false" outlineLevel="0" collapsed="false">
      <c r="A33" s="13" t="s">
        <v>378</v>
      </c>
      <c r="B33" s="13" t="s">
        <v>379</v>
      </c>
      <c r="C33" s="23"/>
      <c r="D33" s="28"/>
      <c r="E33" s="29"/>
      <c r="F33" s="30"/>
      <c r="G33" s="34" t="str">
        <f aca="false">IF(COUNT(D33:F33)=3,D33*E33*F33,"")</f>
        <v/>
      </c>
      <c r="H33" s="35" t="str">
        <f aca="false">IF(G33="","",G33*$D$3)</f>
        <v/>
      </c>
      <c r="I33" s="34" t="str">
        <f aca="false">IF(H33="","",H33/$J$3)</f>
        <v/>
      </c>
      <c r="J33" s="34" t="str">
        <f aca="false">IF(H33="","",H33)</f>
        <v/>
      </c>
      <c r="K33" s="29"/>
      <c r="L33" s="34" t="str">
        <f aca="false">IF(OR(H33="",K33=""),"",ROUNDUP(H33*K33/60,0))</f>
        <v/>
      </c>
      <c r="M33" s="33"/>
      <c r="N33" s="34" t="str">
        <f aca="false">IF(OR(H33="",M33=""),"",H33*M33*4)</f>
        <v/>
      </c>
      <c r="O33" s="23" t="s">
        <v>460</v>
      </c>
    </row>
    <row r="34" customFormat="false" ht="15" hidden="false" customHeight="false" outlineLevel="0" collapsed="false">
      <c r="A34" s="19" t="s">
        <v>382</v>
      </c>
      <c r="B34" s="19" t="s">
        <v>383</v>
      </c>
      <c r="C34" s="23"/>
      <c r="D34" s="28"/>
      <c r="E34" s="29"/>
      <c r="F34" s="30"/>
      <c r="G34" s="31" t="str">
        <f aca="false">IF(COUNT(D34:F34)=3,D34*E34*F34,"")</f>
        <v/>
      </c>
      <c r="H34" s="32" t="str">
        <f aca="false">IF(G34="","",G34*$D$3)</f>
        <v/>
      </c>
      <c r="I34" s="31" t="str">
        <f aca="false">IF(H34="","",H34/$J$3)</f>
        <v/>
      </c>
      <c r="J34" s="31" t="str">
        <f aca="false">IF(H34="","",H34)</f>
        <v/>
      </c>
      <c r="K34" s="29"/>
      <c r="L34" s="31" t="str">
        <f aca="false">IF(OR(H34="",K34=""),"",ROUNDUP(H34*K34/60,0))</f>
        <v/>
      </c>
      <c r="M34" s="33"/>
      <c r="N34" s="31" t="str">
        <f aca="false">IF(OR(H34="",M34=""),"",H34*M34*4)</f>
        <v/>
      </c>
      <c r="O34" s="23" t="s">
        <v>460</v>
      </c>
    </row>
    <row r="35" customFormat="false" ht="15" hidden="false" customHeight="false" outlineLevel="0" collapsed="false">
      <c r="A35" s="13" t="s">
        <v>386</v>
      </c>
      <c r="B35" s="13" t="s">
        <v>387</v>
      </c>
      <c r="C35" s="23"/>
      <c r="D35" s="28"/>
      <c r="E35" s="29"/>
      <c r="F35" s="30"/>
      <c r="G35" s="34" t="str">
        <f aca="false">IF(COUNT(D35:F35)=3,D35*E35*F35,"")</f>
        <v/>
      </c>
      <c r="H35" s="35" t="str">
        <f aca="false">IF(G35="","",G35*$D$3)</f>
        <v/>
      </c>
      <c r="I35" s="34" t="str">
        <f aca="false">IF(H35="","",H35/$J$3)</f>
        <v/>
      </c>
      <c r="J35" s="34" t="str">
        <f aca="false">IF(H35="","",H35)</f>
        <v/>
      </c>
      <c r="K35" s="29"/>
      <c r="L35" s="34" t="str">
        <f aca="false">IF(OR(H35="",K35=""),"",ROUNDUP(H35*K35/60,0))</f>
        <v/>
      </c>
      <c r="M35" s="33"/>
      <c r="N35" s="34" t="str">
        <f aca="false">IF(OR(H35="",M35=""),"",H35*M35*4)</f>
        <v/>
      </c>
      <c r="O35" s="23" t="s">
        <v>460</v>
      </c>
    </row>
    <row r="36" customFormat="false" ht="15" hidden="false" customHeight="false" outlineLevel="0" collapsed="false">
      <c r="A36" s="19" t="s">
        <v>392</v>
      </c>
      <c r="B36" s="19" t="s">
        <v>394</v>
      </c>
      <c r="C36" s="23"/>
      <c r="D36" s="28"/>
      <c r="E36" s="29"/>
      <c r="F36" s="30"/>
      <c r="G36" s="31" t="str">
        <f aca="false">IF(COUNT(D36:F36)=3,D36*E36*F36,"")</f>
        <v/>
      </c>
      <c r="H36" s="32" t="str">
        <f aca="false">IF(G36="","",G36*$D$3)</f>
        <v/>
      </c>
      <c r="I36" s="31" t="str">
        <f aca="false">IF(H36="","",H36/$J$3)</f>
        <v/>
      </c>
      <c r="J36" s="31" t="str">
        <f aca="false">IF(H36="","",H36)</f>
        <v/>
      </c>
      <c r="K36" s="29"/>
      <c r="L36" s="31" t="str">
        <f aca="false">IF(OR(H36="",K36=""),"",ROUNDUP(H36*K36/60,0))</f>
        <v/>
      </c>
      <c r="M36" s="33"/>
      <c r="N36" s="31" t="str">
        <f aca="false">IF(OR(H36="",M36=""),"",H36*M36*4)</f>
        <v/>
      </c>
      <c r="O36" s="23" t="s">
        <v>460</v>
      </c>
    </row>
    <row r="37" customFormat="false" ht="15" hidden="false" customHeight="false" outlineLevel="0" collapsed="false">
      <c r="A37" s="13" t="s">
        <v>398</v>
      </c>
      <c r="B37" s="13" t="s">
        <v>399</v>
      </c>
      <c r="C37" s="23"/>
      <c r="D37" s="28"/>
      <c r="E37" s="29"/>
      <c r="F37" s="30"/>
      <c r="G37" s="34" t="str">
        <f aca="false">IF(COUNT(D37:F37)=3,D37*E37*F37,"")</f>
        <v/>
      </c>
      <c r="H37" s="35" t="str">
        <f aca="false">IF(G37="","",G37*$D$3)</f>
        <v/>
      </c>
      <c r="I37" s="34" t="str">
        <f aca="false">IF(H37="","",H37/$J$3)</f>
        <v/>
      </c>
      <c r="J37" s="34" t="str">
        <f aca="false">IF(H37="","",H37)</f>
        <v/>
      </c>
      <c r="K37" s="29"/>
      <c r="L37" s="34" t="str">
        <f aca="false">IF(OR(H37="",K37=""),"",ROUNDUP(H37*K37/60,0))</f>
        <v/>
      </c>
      <c r="M37" s="33"/>
      <c r="N37" s="34" t="str">
        <f aca="false">IF(OR(H37="",M37=""),"",H37*M37*4)</f>
        <v/>
      </c>
      <c r="O37" s="23" t="s">
        <v>460</v>
      </c>
    </row>
    <row r="38" customFormat="false" ht="15" hidden="false" customHeight="false" outlineLevel="0" collapsed="false">
      <c r="A38" s="19" t="s">
        <v>403</v>
      </c>
      <c r="B38" s="19" t="s">
        <v>404</v>
      </c>
      <c r="C38" s="23"/>
      <c r="D38" s="28"/>
      <c r="E38" s="29"/>
      <c r="F38" s="30"/>
      <c r="G38" s="31" t="str">
        <f aca="false">IF(COUNT(D38:F38)=3,D38*E38*F38,"")</f>
        <v/>
      </c>
      <c r="H38" s="32" t="str">
        <f aca="false">IF(G38="","",G38*$D$3)</f>
        <v/>
      </c>
      <c r="I38" s="31" t="str">
        <f aca="false">IF(H38="","",H38/$J$3)</f>
        <v/>
      </c>
      <c r="J38" s="31" t="str">
        <f aca="false">IF(H38="","",H38)</f>
        <v/>
      </c>
      <c r="K38" s="29"/>
      <c r="L38" s="31" t="str">
        <f aca="false">IF(OR(H38="",K38=""),"",ROUNDUP(H38*K38/60,0))</f>
        <v/>
      </c>
      <c r="M38" s="33"/>
      <c r="N38" s="31" t="str">
        <f aca="false">IF(OR(H38="",M38=""),"",H38*M38*4)</f>
        <v/>
      </c>
      <c r="O38" s="23" t="s">
        <v>460</v>
      </c>
    </row>
    <row r="39" customFormat="false" ht="15" hidden="false" customHeight="false" outlineLevel="0" collapsed="false">
      <c r="A39" s="13" t="s">
        <v>408</v>
      </c>
      <c r="B39" s="13" t="s">
        <v>409</v>
      </c>
      <c r="C39" s="23"/>
      <c r="D39" s="28"/>
      <c r="E39" s="29"/>
      <c r="F39" s="30"/>
      <c r="G39" s="34" t="str">
        <f aca="false">IF(COUNT(D39:F39)=3,D39*E39*F39,"")</f>
        <v/>
      </c>
      <c r="H39" s="35" t="str">
        <f aca="false">IF(G39="","",G39*$D$3)</f>
        <v/>
      </c>
      <c r="I39" s="34" t="str">
        <f aca="false">IF(H39="","",H39/$J$3)</f>
        <v/>
      </c>
      <c r="J39" s="34" t="str">
        <f aca="false">IF(H39="","",H39)</f>
        <v/>
      </c>
      <c r="K39" s="29"/>
      <c r="L39" s="34" t="str">
        <f aca="false">IF(OR(H39="",K39=""),"",ROUNDUP(H39*K39/60,0))</f>
        <v/>
      </c>
      <c r="M39" s="33"/>
      <c r="N39" s="34" t="str">
        <f aca="false">IF(OR(H39="",M39=""),"",H39*M39*4)</f>
        <v/>
      </c>
      <c r="O39" s="23" t="s">
        <v>460</v>
      </c>
    </row>
    <row r="40" customFormat="false" ht="15" hidden="false" customHeight="false" outlineLevel="0" collapsed="false">
      <c r="A40" s="19" t="s">
        <v>413</v>
      </c>
      <c r="B40" s="19" t="s">
        <v>414</v>
      </c>
      <c r="C40" s="23"/>
      <c r="D40" s="28"/>
      <c r="E40" s="29"/>
      <c r="F40" s="30"/>
      <c r="G40" s="31" t="str">
        <f aca="false">IF(COUNT(D40:F40)=3,D40*E40*F40,"")</f>
        <v/>
      </c>
      <c r="H40" s="32" t="str">
        <f aca="false">IF(G40="","",G40*$D$3)</f>
        <v/>
      </c>
      <c r="I40" s="31" t="str">
        <f aca="false">IF(H40="","",H40/$J$3)</f>
        <v/>
      </c>
      <c r="J40" s="31" t="str">
        <f aca="false">IF(H40="","",H40)</f>
        <v/>
      </c>
      <c r="K40" s="29"/>
      <c r="L40" s="31" t="str">
        <f aca="false">IF(OR(H40="",K40=""),"",ROUNDUP(H40*K40/60,0))</f>
        <v/>
      </c>
      <c r="M40" s="33"/>
      <c r="N40" s="31" t="str">
        <f aca="false">IF(OR(H40="",M40=""),"",H40*M40*4)</f>
        <v/>
      </c>
      <c r="O40" s="23" t="s">
        <v>460</v>
      </c>
    </row>
    <row r="42" customFormat="false" ht="15" hidden="false" customHeight="false" outlineLevel="0" collapsed="false">
      <c r="B42" s="2" t="s">
        <v>463</v>
      </c>
    </row>
    <row r="43" customFormat="false" ht="15" hidden="false" customHeight="false" outlineLevel="0" collapsed="false">
      <c r="B43" s="2" t="s">
        <v>464</v>
      </c>
    </row>
    <row r="44" customFormat="false" ht="15" hidden="false" customHeight="false" outlineLevel="0" collapsed="false">
      <c r="B44" s="2" t="s">
        <v>465</v>
      </c>
    </row>
    <row r="45" customFormat="false" ht="15" hidden="false" customHeight="false" outlineLevel="0" collapsed="false">
      <c r="B45" s="2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5659"/>
    <pageSetUpPr fitToPage="tru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7" min="6" style="0" width="12"/>
  </cols>
  <sheetData>
    <row r="1" customFormat="false" ht="19.7" hidden="false" customHeight="false" outlineLevel="0" collapsed="false">
      <c r="A1" s="1" t="s">
        <v>467</v>
      </c>
    </row>
    <row r="2" customFormat="false" ht="15" hidden="false" customHeight="false" outlineLevel="0" collapsed="false">
      <c r="A2" s="2" t="s">
        <v>468</v>
      </c>
    </row>
    <row r="4" customFormat="false" ht="15" hidden="false" customHeight="false" outlineLevel="0" collapsed="false">
      <c r="A4" s="8" t="s">
        <v>469</v>
      </c>
      <c r="B4" s="8" t="s">
        <v>470</v>
      </c>
      <c r="C4" s="8" t="s">
        <v>471</v>
      </c>
      <c r="D4" s="8" t="s">
        <v>472</v>
      </c>
      <c r="E4" s="8" t="s">
        <v>473</v>
      </c>
    </row>
    <row r="5" customFormat="false" ht="15" hidden="false" customHeight="false" outlineLevel="0" collapsed="false">
      <c r="A5" s="21" t="s">
        <v>474</v>
      </c>
      <c r="B5" s="28"/>
      <c r="C5" s="28"/>
      <c r="D5" s="27" t="str">
        <f aca="false">IFERROR(IF(AND(B5&gt;0,C5&gt;0),B5/C5,""),"")</f>
        <v/>
      </c>
      <c r="E5" s="13" t="s">
        <v>475</v>
      </c>
    </row>
    <row r="6" customFormat="false" ht="15" hidden="false" customHeight="false" outlineLevel="0" collapsed="false">
      <c r="A6" s="21" t="s">
        <v>476</v>
      </c>
      <c r="B6" s="28"/>
      <c r="C6" s="28"/>
      <c r="D6" s="27" t="str">
        <f aca="false">IFERROR(IF(AND(B6&gt;0,C6&gt;0),B6/C6,""),"")</f>
        <v/>
      </c>
      <c r="E6" s="13" t="s">
        <v>475</v>
      </c>
    </row>
    <row r="7" customFormat="false" ht="15" hidden="false" customHeight="false" outlineLevel="0" collapsed="false">
      <c r="A7" s="21" t="s">
        <v>477</v>
      </c>
      <c r="B7" s="28"/>
      <c r="C7" s="28"/>
      <c r="D7" s="27" t="str">
        <f aca="false">IFERROR(IF(AND(B7&gt;0,C7&gt;0),B7/C7,""),"")</f>
        <v/>
      </c>
      <c r="E7" s="13" t="s">
        <v>475</v>
      </c>
    </row>
    <row r="8" customFormat="false" ht="15" hidden="false" customHeight="false" outlineLevel="0" collapsed="false">
      <c r="A8" s="21" t="s">
        <v>478</v>
      </c>
      <c r="B8" s="28"/>
      <c r="C8" s="28"/>
      <c r="D8" s="27" t="str">
        <f aca="false">IFERROR(IF(AND(B8&gt;0,C8&gt;0),B8/C8,""),"")</f>
        <v/>
      </c>
      <c r="E8" s="13" t="s">
        <v>256</v>
      </c>
    </row>
    <row r="9" customFormat="false" ht="15" hidden="false" customHeight="false" outlineLevel="0" collapsed="false">
      <c r="A9" s="21" t="s">
        <v>479</v>
      </c>
      <c r="B9" s="28"/>
      <c r="C9" s="28"/>
      <c r="D9" s="27" t="str">
        <f aca="false">IFERROR(IF(AND(B9&gt;0,C9&gt;0),B9/C9,""),"")</f>
        <v/>
      </c>
      <c r="E9" s="13" t="s">
        <v>475</v>
      </c>
    </row>
    <row r="10" customFormat="false" ht="15" hidden="false" customHeight="false" outlineLevel="0" collapsed="false">
      <c r="A10" s="21" t="s">
        <v>480</v>
      </c>
      <c r="B10" s="28"/>
      <c r="C10" s="28"/>
      <c r="D10" s="27" t="str">
        <f aca="false">IFERROR(IF(AND(B10&gt;0,C10&gt;0),B10/C10,""),"")</f>
        <v/>
      </c>
      <c r="E10" s="13" t="s">
        <v>481</v>
      </c>
    </row>
    <row r="11" customFormat="false" ht="15" hidden="false" customHeight="false" outlineLevel="0" collapsed="false">
      <c r="A11" s="21" t="s">
        <v>482</v>
      </c>
      <c r="B11" s="28"/>
      <c r="C11" s="28"/>
      <c r="D11" s="27" t="str">
        <f aca="false">IFERROR(IF(AND(B11&gt;0,C11&gt;0),B11/C11,""),"")</f>
        <v/>
      </c>
      <c r="E11" s="13" t="s">
        <v>481</v>
      </c>
    </row>
    <row r="12" customFormat="false" ht="15" hidden="false" customHeight="false" outlineLevel="0" collapsed="false">
      <c r="A12" s="21" t="s">
        <v>483</v>
      </c>
      <c r="B12" s="28"/>
      <c r="C12" s="28"/>
      <c r="D12" s="27" t="str">
        <f aca="false">IFERROR(IF(AND(B12&gt;0,C12&gt;0),B12/C12,""),"")</f>
        <v/>
      </c>
      <c r="E12" s="13" t="s">
        <v>484</v>
      </c>
    </row>
    <row r="13" customFormat="false" ht="15" hidden="false" customHeight="false" outlineLevel="0" collapsed="false">
      <c r="A13" s="21" t="s">
        <v>485</v>
      </c>
      <c r="C13" s="36" t="n">
        <v>2</v>
      </c>
    </row>
    <row r="14" customFormat="false" ht="15" hidden="false" customHeight="false" outlineLevel="0" collapsed="false">
      <c r="A14" s="21" t="s">
        <v>486</v>
      </c>
      <c r="C14" s="36" t="n">
        <v>0.85</v>
      </c>
    </row>
    <row r="15" customFormat="false" ht="23.85" hidden="false" customHeight="false" outlineLevel="0" collapsed="false">
      <c r="A15" s="21" t="s">
        <v>487</v>
      </c>
      <c r="C15" s="37" t="n">
        <f aca="false">IF(COUNT(D5:D11)=0,C13,MIN(D5:D11))</f>
        <v>2</v>
      </c>
      <c r="E15" s="13" t="s">
        <v>488</v>
      </c>
    </row>
    <row r="18" customFormat="false" ht="23.85" hidden="false" customHeight="false" outlineLevel="0" collapsed="false">
      <c r="A18" s="8" t="s">
        <v>489</v>
      </c>
      <c r="B18" s="8" t="s">
        <v>490</v>
      </c>
      <c r="C18" s="8" t="s">
        <v>491</v>
      </c>
      <c r="D18" s="8" t="s">
        <v>492</v>
      </c>
      <c r="E18" s="8" t="s">
        <v>493</v>
      </c>
    </row>
    <row r="19" customFormat="false" ht="46.25" hidden="false" customHeight="false" outlineLevel="0" collapsed="false">
      <c r="A19" s="21" t="s">
        <v>494</v>
      </c>
      <c r="B19" s="13" t="s">
        <v>495</v>
      </c>
      <c r="C19" s="13" t="s">
        <v>496</v>
      </c>
      <c r="D19" s="13" t="s">
        <v>497</v>
      </c>
      <c r="E19" s="13" t="s">
        <v>498</v>
      </c>
    </row>
    <row r="20" customFormat="false" ht="23.85" hidden="false" customHeight="false" outlineLevel="0" collapsed="false">
      <c r="A20" s="22" t="s">
        <v>499</v>
      </c>
      <c r="B20" s="19" t="s">
        <v>500</v>
      </c>
      <c r="C20" s="19" t="s">
        <v>501</v>
      </c>
      <c r="D20" s="19" t="s">
        <v>502</v>
      </c>
      <c r="E20" s="19" t="s">
        <v>503</v>
      </c>
    </row>
    <row r="21" customFormat="false" ht="23.85" hidden="false" customHeight="false" outlineLevel="0" collapsed="false">
      <c r="A21" s="21" t="s">
        <v>504</v>
      </c>
      <c r="B21" s="13" t="s">
        <v>505</v>
      </c>
      <c r="C21" s="13" t="s">
        <v>506</v>
      </c>
      <c r="D21" s="13" t="s">
        <v>507</v>
      </c>
      <c r="E21" s="13" t="s">
        <v>508</v>
      </c>
    </row>
    <row r="24" customFormat="false" ht="23.85" hidden="false" customHeight="false" outlineLevel="0" collapsed="false">
      <c r="A24" s="8" t="s">
        <v>509</v>
      </c>
      <c r="B24" s="8" t="s">
        <v>510</v>
      </c>
      <c r="C24" s="8" t="s">
        <v>511</v>
      </c>
      <c r="D24" s="8" t="s">
        <v>512</v>
      </c>
      <c r="E24" s="8" t="s">
        <v>513</v>
      </c>
      <c r="F24" s="8" t="s">
        <v>514</v>
      </c>
      <c r="G24" s="8" t="s">
        <v>515</v>
      </c>
    </row>
    <row r="25" customFormat="false" ht="15" hidden="false" customHeight="false" outlineLevel="0" collapsed="false">
      <c r="A25" s="21" t="s">
        <v>516</v>
      </c>
      <c r="B25" s="16" t="s">
        <v>517</v>
      </c>
      <c r="C25" s="28"/>
      <c r="D25" s="38" t="str">
        <f aca="false">IF(C25="","",IF(B25="B",C25*$C$15*$C$14,C25))</f>
        <v/>
      </c>
      <c r="E25" s="28"/>
      <c r="F25" s="39" t="str">
        <f aca="false">IF(OR(D25="",E25=""),"",D25/E25)</f>
        <v/>
      </c>
      <c r="G25" s="24" t="str">
        <f aca="false">IF(F25="","",IF(F25&gt;=1.2,"PASS",IF(F25&gt;=1,"MARGINAL","AT RISK")))</f>
        <v/>
      </c>
    </row>
    <row r="26" customFormat="false" ht="15" hidden="false" customHeight="false" outlineLevel="0" collapsed="false">
      <c r="A26" s="21" t="s">
        <v>518</v>
      </c>
      <c r="B26" s="16" t="s">
        <v>517</v>
      </c>
      <c r="C26" s="28"/>
      <c r="D26" s="38" t="str">
        <f aca="false">IF(C26="","",IF(B26="B",C26*$C$15*$C$14,C26))</f>
        <v/>
      </c>
      <c r="E26" s="28"/>
      <c r="F26" s="39" t="str">
        <f aca="false">IF(OR(D26="",E26=""),"",D26/E26)</f>
        <v/>
      </c>
      <c r="G26" s="24" t="str">
        <f aca="false">IF(F26="","",IF(F26&gt;=1.2,"PASS",IF(F26&gt;=1,"MARGINAL","AT RISK")))</f>
        <v/>
      </c>
    </row>
    <row r="27" customFormat="false" ht="15" hidden="false" customHeight="false" outlineLevel="0" collapsed="false">
      <c r="A27" s="21" t="s">
        <v>519</v>
      </c>
      <c r="B27" s="16" t="s">
        <v>517</v>
      </c>
      <c r="C27" s="28"/>
      <c r="D27" s="38" t="str">
        <f aca="false">IF(C27="","",IF(B27="B",C27*$C$15*$C$14,C27))</f>
        <v/>
      </c>
      <c r="E27" s="28"/>
      <c r="F27" s="39" t="str">
        <f aca="false">IF(OR(D27="",E27=""),"",D27/E27)</f>
        <v/>
      </c>
      <c r="G27" s="24" t="str">
        <f aca="false">IF(F27="","",IF(F27&gt;=1.2,"PASS",IF(F27&gt;=1,"MARGINAL","AT RISK")))</f>
        <v/>
      </c>
    </row>
    <row r="28" customFormat="false" ht="15" hidden="false" customHeight="false" outlineLevel="0" collapsed="false">
      <c r="A28" s="21" t="s">
        <v>520</v>
      </c>
      <c r="B28" s="16" t="s">
        <v>204</v>
      </c>
      <c r="C28" s="28"/>
      <c r="D28" s="38" t="str">
        <f aca="false">IF(C28="","",IF(B28="B",C28*$C$15*$C$14,C28))</f>
        <v/>
      </c>
      <c r="E28" s="28"/>
      <c r="F28" s="39" t="str">
        <f aca="false">IF(OR(D28="",E28=""),"",D28/E28)</f>
        <v/>
      </c>
      <c r="G28" s="24" t="str">
        <f aca="false">IF(F28="","",IF(F28&gt;=1.2,"PASS",IF(F28&gt;=1,"MARGINAL","AT RISK")))</f>
        <v/>
      </c>
    </row>
    <row r="29" customFormat="false" ht="15" hidden="false" customHeight="false" outlineLevel="0" collapsed="false">
      <c r="A29" s="21" t="s">
        <v>521</v>
      </c>
      <c r="B29" s="16" t="s">
        <v>44</v>
      </c>
      <c r="C29" s="28"/>
      <c r="D29" s="38" t="str">
        <f aca="false">IF(C29="","",IF(B29="B",C29*$C$15*$C$14,C29))</f>
        <v/>
      </c>
      <c r="E29" s="28"/>
      <c r="F29" s="39" t="str">
        <f aca="false">IF(OR(D29="",E29=""),"",E29/D29)</f>
        <v/>
      </c>
      <c r="G29" s="24" t="str">
        <f aca="false">IF(F29="","",IF(F29&gt;=1.2,"PASS",IF(F29&gt;=1,"MARGINAL","AT RISK")))</f>
        <v/>
      </c>
    </row>
    <row r="30" customFormat="false" ht="15" hidden="false" customHeight="false" outlineLevel="0" collapsed="false">
      <c r="A30" s="21" t="s">
        <v>522</v>
      </c>
      <c r="B30" s="16" t="s">
        <v>44</v>
      </c>
      <c r="C30" s="28"/>
      <c r="D30" s="38" t="str">
        <f aca="false">IF(C30="","",IF(B30="B",C30*$C$15*$C$14,C30))</f>
        <v/>
      </c>
      <c r="E30" s="28"/>
      <c r="F30" s="39" t="str">
        <f aca="false">IF(OR(D30="",E30=""),"",E30/D30)</f>
        <v/>
      </c>
      <c r="G30" s="24" t="str">
        <f aca="false">IF(F30="","",IF(F30&gt;=1.2,"PASS",IF(F30&gt;=1,"MARGINAL","AT RISK")))</f>
        <v/>
      </c>
    </row>
    <row r="32" customFormat="false" ht="15" hidden="false" customHeight="false" outlineLevel="0" collapsed="false">
      <c r="A32" s="2" t="s">
        <v>523</v>
      </c>
    </row>
  </sheetData>
  <conditionalFormatting sqref="G25:G30">
    <cfRule type="cellIs" priority="2" operator="equal" aboveAverage="0" equalAverage="0" bottom="0" percent="0" rank="0" text="" dxfId="5">
      <formula>"AT RISK"</formula>
    </cfRule>
    <cfRule type="cellIs" priority="3" operator="equal" aboveAverage="0" equalAverage="0" bottom="0" percent="0" rank="0" text="" dxfId="4">
      <formula>"MARGINAL"</formula>
    </cfRule>
    <cfRule type="cellIs" priority="4" operator="equal" aboveAverage="0" equalAverage="0" bottom="0" percent="0" rank="0" text="" dxfId="12">
      <formula>"PASS"</formula>
    </cfRule>
  </conditionalFormatting>
  <dataValidations count="1">
    <dataValidation allowBlank="true" errorStyle="stop" operator="between" showDropDown="false" showErrorMessage="false" showInputMessage="false" sqref="B25:B40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5659"/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524</v>
      </c>
    </row>
    <row r="2" customFormat="false" ht="15" hidden="false" customHeight="false" outlineLevel="0" collapsed="false">
      <c r="A2" s="2" t="s">
        <v>525</v>
      </c>
    </row>
    <row r="4" customFormat="false" ht="15" hidden="false" customHeight="false" outlineLevel="0" collapsed="false">
      <c r="A4" s="8" t="s">
        <v>510</v>
      </c>
      <c r="B4" s="8" t="s">
        <v>526</v>
      </c>
      <c r="C4" s="8" t="s">
        <v>221</v>
      </c>
      <c r="D4" s="8" t="s">
        <v>527</v>
      </c>
      <c r="E4" s="8" t="s">
        <v>473</v>
      </c>
    </row>
    <row r="5" customFormat="false" ht="15" hidden="false" customHeight="false" outlineLevel="0" collapsed="false">
      <c r="A5" s="21" t="s">
        <v>528</v>
      </c>
      <c r="B5" s="13" t="s">
        <v>529</v>
      </c>
      <c r="C5" s="23" t="s">
        <v>252</v>
      </c>
      <c r="D5" s="13" t="s">
        <v>530</v>
      </c>
      <c r="E5" s="13" t="s">
        <v>531</v>
      </c>
    </row>
    <row r="6" customFormat="false" ht="15" hidden="false" customHeight="false" outlineLevel="0" collapsed="false">
      <c r="A6" s="22" t="s">
        <v>532</v>
      </c>
      <c r="B6" s="19" t="s">
        <v>533</v>
      </c>
      <c r="C6" s="23" t="s">
        <v>233</v>
      </c>
      <c r="D6" s="19" t="s">
        <v>534</v>
      </c>
      <c r="E6" s="19" t="s">
        <v>535</v>
      </c>
    </row>
    <row r="7" customFormat="false" ht="15" hidden="false" customHeight="false" outlineLevel="0" collapsed="false">
      <c r="A7" s="21" t="s">
        <v>536</v>
      </c>
      <c r="B7" s="13" t="s">
        <v>537</v>
      </c>
      <c r="C7" s="23" t="s">
        <v>309</v>
      </c>
      <c r="D7" s="13" t="s">
        <v>538</v>
      </c>
      <c r="E7" s="13" t="s">
        <v>539</v>
      </c>
    </row>
    <row r="8" customFormat="false" ht="15" hidden="false" customHeight="false" outlineLevel="0" collapsed="false">
      <c r="A8" s="22" t="s">
        <v>540</v>
      </c>
      <c r="B8" s="19" t="s">
        <v>541</v>
      </c>
      <c r="C8" s="23" t="s">
        <v>542</v>
      </c>
      <c r="D8" s="19" t="s">
        <v>543</v>
      </c>
      <c r="E8" s="19" t="s">
        <v>544</v>
      </c>
    </row>
    <row r="9" customFormat="false" ht="15" hidden="false" customHeight="false" outlineLevel="0" collapsed="false">
      <c r="A9" s="21" t="s">
        <v>545</v>
      </c>
      <c r="B9" s="13" t="s">
        <v>546</v>
      </c>
      <c r="C9" s="23" t="s">
        <v>397</v>
      </c>
      <c r="D9" s="13" t="s">
        <v>547</v>
      </c>
      <c r="E9" s="13" t="s">
        <v>548</v>
      </c>
    </row>
    <row r="10" customFormat="false" ht="15" hidden="false" customHeight="false" outlineLevel="0" collapsed="false">
      <c r="A10" s="22" t="s">
        <v>549</v>
      </c>
      <c r="B10" s="19" t="s">
        <v>550</v>
      </c>
      <c r="C10" s="23" t="s">
        <v>551</v>
      </c>
      <c r="D10" s="19" t="s">
        <v>547</v>
      </c>
      <c r="E10" s="19" t="s">
        <v>552</v>
      </c>
    </row>
    <row r="11" customFormat="false" ht="15" hidden="false" customHeight="false" outlineLevel="0" collapsed="false">
      <c r="A11" s="21" t="s">
        <v>553</v>
      </c>
      <c r="B11" s="13" t="s">
        <v>554</v>
      </c>
      <c r="C11" s="23" t="s">
        <v>370</v>
      </c>
      <c r="D11" s="13" t="s">
        <v>555</v>
      </c>
      <c r="E11" s="13" t="s">
        <v>556</v>
      </c>
    </row>
    <row r="12" customFormat="false" ht="15" hidden="false" customHeight="false" outlineLevel="0" collapsed="false">
      <c r="A12" s="22" t="s">
        <v>553</v>
      </c>
      <c r="B12" s="19" t="s">
        <v>557</v>
      </c>
      <c r="C12" s="23" t="s">
        <v>558</v>
      </c>
      <c r="D12" s="19" t="s">
        <v>559</v>
      </c>
      <c r="E12" s="19"/>
    </row>
    <row r="13" customFormat="false" ht="15" hidden="false" customHeight="false" outlineLevel="0" collapsed="false">
      <c r="A13" s="21" t="s">
        <v>560</v>
      </c>
      <c r="B13" s="13" t="s">
        <v>561</v>
      </c>
      <c r="C13" s="23" t="s">
        <v>266</v>
      </c>
      <c r="D13" s="13" t="s">
        <v>562</v>
      </c>
      <c r="E13" s="13"/>
    </row>
    <row r="14" customFormat="false" ht="15" hidden="false" customHeight="false" outlineLevel="0" collapsed="false">
      <c r="A14" s="22" t="s">
        <v>374</v>
      </c>
      <c r="B14" s="19" t="s">
        <v>563</v>
      </c>
      <c r="C14" s="23" t="s">
        <v>376</v>
      </c>
      <c r="D14" s="19" t="s">
        <v>562</v>
      </c>
      <c r="E14" s="19" t="s">
        <v>564</v>
      </c>
    </row>
    <row r="15" customFormat="false" ht="15" hidden="false" customHeight="false" outlineLevel="0" collapsed="false">
      <c r="A15" s="21" t="s">
        <v>281</v>
      </c>
      <c r="B15" s="13" t="s">
        <v>286</v>
      </c>
      <c r="C15" s="23" t="s">
        <v>287</v>
      </c>
      <c r="D15" s="13" t="s">
        <v>565</v>
      </c>
      <c r="E15" s="13"/>
    </row>
    <row r="16" customFormat="false" ht="15" hidden="false" customHeight="false" outlineLevel="0" collapsed="false">
      <c r="A16" s="22" t="s">
        <v>281</v>
      </c>
      <c r="B16" s="19" t="s">
        <v>566</v>
      </c>
      <c r="C16" s="23" t="s">
        <v>567</v>
      </c>
      <c r="D16" s="19" t="s">
        <v>568</v>
      </c>
      <c r="E16" s="19" t="s">
        <v>569</v>
      </c>
    </row>
    <row r="17" customFormat="false" ht="15" hidden="false" customHeight="false" outlineLevel="0" collapsed="false">
      <c r="A17" s="21" t="s">
        <v>570</v>
      </c>
      <c r="B17" s="13" t="s">
        <v>571</v>
      </c>
      <c r="C17" s="23" t="s">
        <v>572</v>
      </c>
      <c r="D17" s="13" t="s">
        <v>573</v>
      </c>
      <c r="E17" s="13" t="s">
        <v>574</v>
      </c>
    </row>
    <row r="18" customFormat="false" ht="15" hidden="false" customHeight="false" outlineLevel="0" collapsed="false">
      <c r="A18" s="22" t="s">
        <v>575</v>
      </c>
      <c r="B18" s="19" t="s">
        <v>576</v>
      </c>
      <c r="C18" s="23" t="s">
        <v>577</v>
      </c>
      <c r="D18" s="19" t="s">
        <v>578</v>
      </c>
      <c r="E18" s="19" t="s">
        <v>579</v>
      </c>
    </row>
    <row r="19" customFormat="false" ht="15" hidden="false" customHeight="false" outlineLevel="0" collapsed="false">
      <c r="A19" s="21" t="s">
        <v>256</v>
      </c>
      <c r="B19" s="13" t="s">
        <v>580</v>
      </c>
      <c r="C19" s="23" t="s">
        <v>581</v>
      </c>
      <c r="D19" s="13" t="s">
        <v>582</v>
      </c>
      <c r="E19" s="13" t="s">
        <v>583</v>
      </c>
    </row>
    <row r="20" customFormat="false" ht="15" hidden="false" customHeight="false" outlineLevel="0" collapsed="false">
      <c r="A20" s="22" t="s">
        <v>256</v>
      </c>
      <c r="B20" s="19" t="s">
        <v>584</v>
      </c>
      <c r="C20" s="23" t="s">
        <v>585</v>
      </c>
      <c r="D20" s="19" t="s">
        <v>586</v>
      </c>
      <c r="E20" s="19"/>
    </row>
    <row r="21" customFormat="false" ht="15" hidden="false" customHeight="false" outlineLevel="0" collapsed="false">
      <c r="A21" s="21" t="s">
        <v>587</v>
      </c>
      <c r="B21" s="13" t="s">
        <v>588</v>
      </c>
      <c r="C21" s="23" t="s">
        <v>589</v>
      </c>
      <c r="D21" s="13" t="s">
        <v>590</v>
      </c>
      <c r="E21" s="13"/>
    </row>
    <row r="22" customFormat="false" ht="15" hidden="false" customHeight="false" outlineLevel="0" collapsed="false">
      <c r="A22" s="22" t="s">
        <v>587</v>
      </c>
      <c r="B22" s="19" t="s">
        <v>591</v>
      </c>
      <c r="C22" s="23" t="s">
        <v>592</v>
      </c>
      <c r="D22" s="19" t="s">
        <v>593</v>
      </c>
      <c r="E22" s="19"/>
    </row>
    <row r="23" customFormat="false" ht="15" hidden="false" customHeight="false" outlineLevel="0" collapsed="false">
      <c r="A23" s="21" t="s">
        <v>587</v>
      </c>
      <c r="B23" s="13" t="s">
        <v>594</v>
      </c>
      <c r="C23" s="23" t="s">
        <v>595</v>
      </c>
      <c r="D23" s="13" t="s">
        <v>596</v>
      </c>
      <c r="E23" s="13"/>
    </row>
    <row r="24" customFormat="false" ht="15" hidden="false" customHeight="false" outlineLevel="0" collapsed="false">
      <c r="A24" s="22" t="s">
        <v>587</v>
      </c>
      <c r="B24" s="19" t="s">
        <v>597</v>
      </c>
      <c r="C24" s="23" t="s">
        <v>598</v>
      </c>
      <c r="D24" s="19" t="s">
        <v>599</v>
      </c>
      <c r="E24" s="19"/>
    </row>
    <row r="25" customFormat="false" ht="15" hidden="false" customHeight="false" outlineLevel="0" collapsed="false">
      <c r="A25" s="21" t="s">
        <v>587</v>
      </c>
      <c r="B25" s="13" t="s">
        <v>600</v>
      </c>
      <c r="C25" s="23" t="s">
        <v>601</v>
      </c>
      <c r="D25" s="13" t="s">
        <v>602</v>
      </c>
      <c r="E25" s="13"/>
    </row>
    <row r="26" customFormat="false" ht="15" hidden="false" customHeight="false" outlineLevel="0" collapsed="false">
      <c r="A26" s="22" t="s">
        <v>405</v>
      </c>
      <c r="B26" s="19" t="s">
        <v>603</v>
      </c>
      <c r="C26" s="23" t="s">
        <v>407</v>
      </c>
      <c r="D26" s="19" t="s">
        <v>604</v>
      </c>
      <c r="E26" s="19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5659"/>
    <pageSetUpPr fitToPage="true"/>
  </sheetPr>
  <dimension ref="A1:T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10" min="8" style="0" width="12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5" min="14" style="0" width="10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8" min="18" style="0" width="26"/>
    <col collapsed="false" customWidth="true" hidden="false" outlineLevel="0" max="19" min="19" style="0" width="10"/>
    <col collapsed="false" customWidth="true" hidden="false" outlineLevel="0" max="20" min="20" style="0" width="14"/>
  </cols>
  <sheetData>
    <row r="1" customFormat="false" ht="19.7" hidden="false" customHeight="false" outlineLevel="0" collapsed="false">
      <c r="A1" s="1" t="s">
        <v>605</v>
      </c>
    </row>
    <row r="2" customFormat="false" ht="15" hidden="false" customHeight="false" outlineLevel="0" collapsed="false">
      <c r="A2" s="2" t="s">
        <v>606</v>
      </c>
    </row>
    <row r="4" customFormat="false" ht="31.5" hidden="false" customHeight="true" outlineLevel="0" collapsed="false">
      <c r="A4" s="8" t="s">
        <v>40</v>
      </c>
      <c r="B4" s="8" t="s">
        <v>607</v>
      </c>
      <c r="C4" s="8" t="s">
        <v>608</v>
      </c>
      <c r="D4" s="8" t="s">
        <v>609</v>
      </c>
      <c r="E4" s="8" t="s">
        <v>610</v>
      </c>
      <c r="F4" s="8" t="s">
        <v>611</v>
      </c>
      <c r="G4" s="8" t="s">
        <v>612</v>
      </c>
      <c r="H4" s="8" t="s">
        <v>613</v>
      </c>
      <c r="I4" s="8" t="s">
        <v>614</v>
      </c>
      <c r="J4" s="8" t="s">
        <v>615</v>
      </c>
      <c r="K4" s="8" t="s">
        <v>616</v>
      </c>
      <c r="L4" s="8" t="s">
        <v>617</v>
      </c>
      <c r="M4" s="8" t="s">
        <v>618</v>
      </c>
      <c r="N4" s="8" t="s">
        <v>619</v>
      </c>
      <c r="O4" s="8" t="s">
        <v>620</v>
      </c>
      <c r="P4" s="8" t="s">
        <v>217</v>
      </c>
      <c r="Q4" s="8" t="s">
        <v>219</v>
      </c>
      <c r="R4" s="8" t="s">
        <v>621</v>
      </c>
      <c r="S4" s="8" t="s">
        <v>223</v>
      </c>
      <c r="T4" s="8" t="s">
        <v>622</v>
      </c>
    </row>
    <row r="5" customFormat="false" ht="15" hidden="false" customHeight="false" outlineLevel="0" collapsed="false">
      <c r="A5" s="40" t="s">
        <v>623</v>
      </c>
      <c r="B5" s="40" t="s">
        <v>624</v>
      </c>
      <c r="C5" s="40" t="s">
        <v>625</v>
      </c>
      <c r="D5" s="40" t="s">
        <v>626</v>
      </c>
      <c r="E5" s="40" t="s">
        <v>435</v>
      </c>
      <c r="F5" s="40" t="s">
        <v>627</v>
      </c>
      <c r="G5" s="40" t="s">
        <v>628</v>
      </c>
      <c r="H5" s="40" t="s">
        <v>629</v>
      </c>
      <c r="I5" s="41" t="n">
        <v>8000</v>
      </c>
      <c r="J5" s="41" t="n">
        <v>1200</v>
      </c>
      <c r="K5" s="41" t="n">
        <v>12</v>
      </c>
      <c r="L5" s="41" t="n">
        <v>250</v>
      </c>
      <c r="M5" s="41" t="n">
        <v>5</v>
      </c>
      <c r="N5" s="41" t="n">
        <v>4</v>
      </c>
      <c r="O5" s="41" t="n">
        <v>3</v>
      </c>
      <c r="P5" s="42" t="n">
        <f aca="false">M5*N5*O5</f>
        <v>60</v>
      </c>
      <c r="Q5" s="42" t="str">
        <f aca="false">IF(M5*N5*O5&gt;=48,"Tier 1",IF(M5*N5*O5&gt;=20,"Tier 2","Tier 3"))</f>
        <v>Tier 1</v>
      </c>
      <c r="R5" s="40" t="s">
        <v>630</v>
      </c>
      <c r="S5" s="40" t="s">
        <v>235</v>
      </c>
      <c r="T5" s="40" t="s">
        <v>631</v>
      </c>
    </row>
    <row r="6" customFormat="false" ht="15" hidden="false" customHeight="false" outlineLevel="0" collapsed="false">
      <c r="A6" s="13" t="s">
        <v>632</v>
      </c>
      <c r="B6" s="23"/>
      <c r="C6" s="23"/>
      <c r="D6" s="23"/>
      <c r="E6" s="23"/>
      <c r="F6" s="23"/>
      <c r="G6" s="23"/>
      <c r="H6" s="23"/>
      <c r="I6" s="28"/>
      <c r="J6" s="28"/>
      <c r="K6" s="28"/>
      <c r="L6" s="28"/>
      <c r="M6" s="16"/>
      <c r="N6" s="16"/>
      <c r="O6" s="16"/>
      <c r="P6" s="14" t="str">
        <f aca="false">IF(COUNT(M6:O6)=3,M6*N6*O6,"")</f>
        <v/>
      </c>
      <c r="Q6" s="24" t="str">
        <f aca="false">IF(P6="","",IF(P6&gt;=48,"Tier 1",IF(P6&gt;=20,"Tier 2","Tier 3")))</f>
        <v/>
      </c>
      <c r="R6" s="23"/>
      <c r="S6" s="23"/>
      <c r="T6" s="23"/>
    </row>
    <row r="7" customFormat="false" ht="15" hidden="false" customHeight="false" outlineLevel="0" collapsed="false">
      <c r="A7" s="13" t="s">
        <v>633</v>
      </c>
      <c r="B7" s="23"/>
      <c r="C7" s="23"/>
      <c r="D7" s="23"/>
      <c r="E7" s="23"/>
      <c r="F7" s="23"/>
      <c r="G7" s="23"/>
      <c r="H7" s="23"/>
      <c r="I7" s="28"/>
      <c r="J7" s="28"/>
      <c r="K7" s="28"/>
      <c r="L7" s="28"/>
      <c r="M7" s="16"/>
      <c r="N7" s="16"/>
      <c r="O7" s="16"/>
      <c r="P7" s="14" t="str">
        <f aca="false">IF(COUNT(M7:O7)=3,M7*N7*O7,"")</f>
        <v/>
      </c>
      <c r="Q7" s="24" t="str">
        <f aca="false">IF(P7="","",IF(P7&gt;=48,"Tier 1",IF(P7&gt;=20,"Tier 2","Tier 3")))</f>
        <v/>
      </c>
      <c r="R7" s="23"/>
      <c r="S7" s="23"/>
      <c r="T7" s="23"/>
    </row>
    <row r="8" customFormat="false" ht="15" hidden="false" customHeight="false" outlineLevel="0" collapsed="false">
      <c r="A8" s="13" t="s">
        <v>634</v>
      </c>
      <c r="B8" s="23"/>
      <c r="C8" s="23"/>
      <c r="D8" s="23"/>
      <c r="E8" s="23"/>
      <c r="F8" s="23"/>
      <c r="G8" s="23"/>
      <c r="H8" s="23"/>
      <c r="I8" s="28"/>
      <c r="J8" s="28"/>
      <c r="K8" s="28"/>
      <c r="L8" s="28"/>
      <c r="M8" s="16"/>
      <c r="N8" s="16"/>
      <c r="O8" s="16"/>
      <c r="P8" s="14" t="str">
        <f aca="false">IF(COUNT(M8:O8)=3,M8*N8*O8,"")</f>
        <v/>
      </c>
      <c r="Q8" s="24" t="str">
        <f aca="false">IF(P8="","",IF(P8&gt;=48,"Tier 1",IF(P8&gt;=20,"Tier 2","Tier 3")))</f>
        <v/>
      </c>
      <c r="R8" s="23"/>
      <c r="S8" s="23"/>
      <c r="T8" s="23"/>
    </row>
    <row r="9" customFormat="false" ht="15" hidden="false" customHeight="false" outlineLevel="0" collapsed="false">
      <c r="A9" s="13" t="s">
        <v>635</v>
      </c>
      <c r="B9" s="23"/>
      <c r="C9" s="23"/>
      <c r="D9" s="23"/>
      <c r="E9" s="23"/>
      <c r="F9" s="23"/>
      <c r="G9" s="23"/>
      <c r="H9" s="23"/>
      <c r="I9" s="28"/>
      <c r="J9" s="28"/>
      <c r="K9" s="28"/>
      <c r="L9" s="28"/>
      <c r="M9" s="16"/>
      <c r="N9" s="16"/>
      <c r="O9" s="16"/>
      <c r="P9" s="14" t="str">
        <f aca="false">IF(COUNT(M9:O9)=3,M9*N9*O9,"")</f>
        <v/>
      </c>
      <c r="Q9" s="24" t="str">
        <f aca="false">IF(P9="","",IF(P9&gt;=48,"Tier 1",IF(P9&gt;=20,"Tier 2","Tier 3")))</f>
        <v/>
      </c>
      <c r="R9" s="23"/>
      <c r="S9" s="23"/>
      <c r="T9" s="23"/>
    </row>
    <row r="10" customFormat="false" ht="15" hidden="false" customHeight="false" outlineLevel="0" collapsed="false">
      <c r="A10" s="13" t="s">
        <v>636</v>
      </c>
      <c r="B10" s="23"/>
      <c r="C10" s="23"/>
      <c r="D10" s="23"/>
      <c r="E10" s="23"/>
      <c r="F10" s="23"/>
      <c r="G10" s="23"/>
      <c r="H10" s="23"/>
      <c r="I10" s="28"/>
      <c r="J10" s="28"/>
      <c r="K10" s="28"/>
      <c r="L10" s="28"/>
      <c r="M10" s="16"/>
      <c r="N10" s="16"/>
      <c r="O10" s="16"/>
      <c r="P10" s="14" t="str">
        <f aca="false">IF(COUNT(M10:O10)=3,M10*N10*O10,"")</f>
        <v/>
      </c>
      <c r="Q10" s="24" t="str">
        <f aca="false">IF(P10="","",IF(P10&gt;=48,"Tier 1",IF(P10&gt;=20,"Tier 2","Tier 3")))</f>
        <v/>
      </c>
      <c r="R10" s="23"/>
      <c r="S10" s="23"/>
      <c r="T10" s="23"/>
    </row>
    <row r="11" customFormat="false" ht="15" hidden="false" customHeight="false" outlineLevel="0" collapsed="false">
      <c r="A11" s="13" t="s">
        <v>637</v>
      </c>
      <c r="B11" s="23"/>
      <c r="C11" s="23"/>
      <c r="D11" s="23"/>
      <c r="E11" s="23"/>
      <c r="F11" s="23"/>
      <c r="G11" s="23"/>
      <c r="H11" s="23"/>
      <c r="I11" s="28"/>
      <c r="J11" s="28"/>
      <c r="K11" s="28"/>
      <c r="L11" s="28"/>
      <c r="M11" s="16"/>
      <c r="N11" s="16"/>
      <c r="O11" s="16"/>
      <c r="P11" s="14" t="str">
        <f aca="false">IF(COUNT(M11:O11)=3,M11*N11*O11,"")</f>
        <v/>
      </c>
      <c r="Q11" s="24" t="str">
        <f aca="false">IF(P11="","",IF(P11&gt;=48,"Tier 1",IF(P11&gt;=20,"Tier 2","Tier 3")))</f>
        <v/>
      </c>
      <c r="R11" s="23"/>
      <c r="S11" s="23"/>
      <c r="T11" s="23"/>
    </row>
    <row r="12" customFormat="false" ht="15" hidden="false" customHeight="false" outlineLevel="0" collapsed="false">
      <c r="A12" s="13" t="s">
        <v>638</v>
      </c>
      <c r="B12" s="23"/>
      <c r="C12" s="23"/>
      <c r="D12" s="23"/>
      <c r="E12" s="23"/>
      <c r="F12" s="23"/>
      <c r="G12" s="23"/>
      <c r="H12" s="23"/>
      <c r="I12" s="28"/>
      <c r="J12" s="28"/>
      <c r="K12" s="28"/>
      <c r="L12" s="28"/>
      <c r="M12" s="16"/>
      <c r="N12" s="16"/>
      <c r="O12" s="16"/>
      <c r="P12" s="14" t="str">
        <f aca="false">IF(COUNT(M12:O12)=3,M12*N12*O12,"")</f>
        <v/>
      </c>
      <c r="Q12" s="24" t="str">
        <f aca="false">IF(P12="","",IF(P12&gt;=48,"Tier 1",IF(P12&gt;=20,"Tier 2","Tier 3")))</f>
        <v/>
      </c>
      <c r="R12" s="23"/>
      <c r="S12" s="23"/>
      <c r="T12" s="23"/>
    </row>
    <row r="13" customFormat="false" ht="15" hidden="false" customHeight="false" outlineLevel="0" collapsed="false">
      <c r="A13" s="13" t="s">
        <v>639</v>
      </c>
      <c r="B13" s="23"/>
      <c r="C13" s="23"/>
      <c r="D13" s="23"/>
      <c r="E13" s="23"/>
      <c r="F13" s="23"/>
      <c r="G13" s="23"/>
      <c r="H13" s="23"/>
      <c r="I13" s="28"/>
      <c r="J13" s="28"/>
      <c r="K13" s="28"/>
      <c r="L13" s="28"/>
      <c r="M13" s="16"/>
      <c r="N13" s="16"/>
      <c r="O13" s="16"/>
      <c r="P13" s="14" t="str">
        <f aca="false">IF(COUNT(M13:O13)=3,M13*N13*O13,"")</f>
        <v/>
      </c>
      <c r="Q13" s="24" t="str">
        <f aca="false">IF(P13="","",IF(P13&gt;=48,"Tier 1",IF(P13&gt;=20,"Tier 2","Tier 3")))</f>
        <v/>
      </c>
      <c r="R13" s="23"/>
      <c r="S13" s="23"/>
      <c r="T13" s="23"/>
    </row>
    <row r="14" customFormat="false" ht="15" hidden="false" customHeight="false" outlineLevel="0" collapsed="false">
      <c r="A14" s="13" t="s">
        <v>640</v>
      </c>
      <c r="B14" s="23"/>
      <c r="C14" s="23"/>
      <c r="D14" s="23"/>
      <c r="E14" s="23"/>
      <c r="F14" s="23"/>
      <c r="G14" s="23"/>
      <c r="H14" s="23"/>
      <c r="I14" s="28"/>
      <c r="J14" s="28"/>
      <c r="K14" s="28"/>
      <c r="L14" s="28"/>
      <c r="M14" s="16"/>
      <c r="N14" s="16"/>
      <c r="O14" s="16"/>
      <c r="P14" s="14" t="str">
        <f aca="false">IF(COUNT(M14:O14)=3,M14*N14*O14,"")</f>
        <v/>
      </c>
      <c r="Q14" s="24" t="str">
        <f aca="false">IF(P14="","",IF(P14&gt;=48,"Tier 1",IF(P14&gt;=20,"Tier 2","Tier 3")))</f>
        <v/>
      </c>
      <c r="R14" s="23"/>
      <c r="S14" s="23"/>
      <c r="T14" s="23"/>
    </row>
    <row r="15" customFormat="false" ht="15" hidden="false" customHeight="false" outlineLevel="0" collapsed="false">
      <c r="A15" s="13" t="s">
        <v>641</v>
      </c>
      <c r="B15" s="23"/>
      <c r="C15" s="23"/>
      <c r="D15" s="23"/>
      <c r="E15" s="23"/>
      <c r="F15" s="23"/>
      <c r="G15" s="23"/>
      <c r="H15" s="23"/>
      <c r="I15" s="28"/>
      <c r="J15" s="28"/>
      <c r="K15" s="28"/>
      <c r="L15" s="28"/>
      <c r="M15" s="16"/>
      <c r="N15" s="16"/>
      <c r="O15" s="16"/>
      <c r="P15" s="14" t="str">
        <f aca="false">IF(COUNT(M15:O15)=3,M15*N15*O15,"")</f>
        <v/>
      </c>
      <c r="Q15" s="24" t="str">
        <f aca="false">IF(P15="","",IF(P15&gt;=48,"Tier 1",IF(P15&gt;=20,"Tier 2","Tier 3")))</f>
        <v/>
      </c>
      <c r="R15" s="23"/>
      <c r="S15" s="23"/>
      <c r="T15" s="23"/>
    </row>
    <row r="16" customFormat="false" ht="15" hidden="false" customHeight="false" outlineLevel="0" collapsed="false">
      <c r="A16" s="13" t="s">
        <v>642</v>
      </c>
      <c r="B16" s="23"/>
      <c r="C16" s="23"/>
      <c r="D16" s="23"/>
      <c r="E16" s="23"/>
      <c r="F16" s="23"/>
      <c r="G16" s="23"/>
      <c r="H16" s="23"/>
      <c r="I16" s="28"/>
      <c r="J16" s="28"/>
      <c r="K16" s="28"/>
      <c r="L16" s="28"/>
      <c r="M16" s="16"/>
      <c r="N16" s="16"/>
      <c r="O16" s="16"/>
      <c r="P16" s="14" t="str">
        <f aca="false">IF(COUNT(M16:O16)=3,M16*N16*O16,"")</f>
        <v/>
      </c>
      <c r="Q16" s="24" t="str">
        <f aca="false">IF(P16="","",IF(P16&gt;=48,"Tier 1",IF(P16&gt;=20,"Tier 2","Tier 3")))</f>
        <v/>
      </c>
      <c r="R16" s="23"/>
      <c r="S16" s="23"/>
      <c r="T16" s="23"/>
    </row>
    <row r="17" customFormat="false" ht="15" hidden="false" customHeight="false" outlineLevel="0" collapsed="false">
      <c r="A17" s="13" t="s">
        <v>643</v>
      </c>
      <c r="B17" s="23"/>
      <c r="C17" s="23"/>
      <c r="D17" s="23"/>
      <c r="E17" s="23"/>
      <c r="F17" s="23"/>
      <c r="G17" s="23"/>
      <c r="H17" s="23"/>
      <c r="I17" s="28"/>
      <c r="J17" s="28"/>
      <c r="K17" s="28"/>
      <c r="L17" s="28"/>
      <c r="M17" s="16"/>
      <c r="N17" s="16"/>
      <c r="O17" s="16"/>
      <c r="P17" s="14" t="str">
        <f aca="false">IF(COUNT(M17:O17)=3,M17*N17*O17,"")</f>
        <v/>
      </c>
      <c r="Q17" s="24" t="str">
        <f aca="false">IF(P17="","",IF(P17&gt;=48,"Tier 1",IF(P17&gt;=20,"Tier 2","Tier 3")))</f>
        <v/>
      </c>
      <c r="R17" s="23"/>
      <c r="S17" s="23"/>
      <c r="T17" s="23"/>
    </row>
    <row r="18" customFormat="false" ht="15" hidden="false" customHeight="false" outlineLevel="0" collapsed="false">
      <c r="A18" s="13" t="s">
        <v>644</v>
      </c>
      <c r="B18" s="23"/>
      <c r="C18" s="23"/>
      <c r="D18" s="23"/>
      <c r="E18" s="23"/>
      <c r="F18" s="23"/>
      <c r="G18" s="23"/>
      <c r="H18" s="23"/>
      <c r="I18" s="28"/>
      <c r="J18" s="28"/>
      <c r="K18" s="28"/>
      <c r="L18" s="28"/>
      <c r="M18" s="16"/>
      <c r="N18" s="16"/>
      <c r="O18" s="16"/>
      <c r="P18" s="14" t="str">
        <f aca="false">IF(COUNT(M18:O18)=3,M18*N18*O18,"")</f>
        <v/>
      </c>
      <c r="Q18" s="24" t="str">
        <f aca="false">IF(P18="","",IF(P18&gt;=48,"Tier 1",IF(P18&gt;=20,"Tier 2","Tier 3")))</f>
        <v/>
      </c>
      <c r="R18" s="23"/>
      <c r="S18" s="23"/>
      <c r="T18" s="23"/>
    </row>
    <row r="19" customFormat="false" ht="15" hidden="false" customHeight="false" outlineLevel="0" collapsed="false">
      <c r="A19" s="13" t="s">
        <v>645</v>
      </c>
      <c r="B19" s="23"/>
      <c r="C19" s="23"/>
      <c r="D19" s="23"/>
      <c r="E19" s="23"/>
      <c r="F19" s="23"/>
      <c r="G19" s="23"/>
      <c r="H19" s="23"/>
      <c r="I19" s="28"/>
      <c r="J19" s="28"/>
      <c r="K19" s="28"/>
      <c r="L19" s="28"/>
      <c r="M19" s="16"/>
      <c r="N19" s="16"/>
      <c r="O19" s="16"/>
      <c r="P19" s="14" t="str">
        <f aca="false">IF(COUNT(M19:O19)=3,M19*N19*O19,"")</f>
        <v/>
      </c>
      <c r="Q19" s="24" t="str">
        <f aca="false">IF(P19="","",IF(P19&gt;=48,"Tier 1",IF(P19&gt;=20,"Tier 2","Tier 3")))</f>
        <v/>
      </c>
      <c r="R19" s="23"/>
      <c r="S19" s="23"/>
      <c r="T19" s="23"/>
    </row>
    <row r="20" customFormat="false" ht="15" hidden="false" customHeight="false" outlineLevel="0" collapsed="false">
      <c r="A20" s="13" t="s">
        <v>646</v>
      </c>
      <c r="B20" s="23"/>
      <c r="C20" s="23"/>
      <c r="D20" s="23"/>
      <c r="E20" s="23"/>
      <c r="F20" s="23"/>
      <c r="G20" s="23"/>
      <c r="H20" s="23"/>
      <c r="I20" s="28"/>
      <c r="J20" s="28"/>
      <c r="K20" s="28"/>
      <c r="L20" s="28"/>
      <c r="M20" s="16"/>
      <c r="N20" s="16"/>
      <c r="O20" s="16"/>
      <c r="P20" s="14" t="str">
        <f aca="false">IF(COUNT(M20:O20)=3,M20*N20*O20,"")</f>
        <v/>
      </c>
      <c r="Q20" s="24" t="str">
        <f aca="false">IF(P20="","",IF(P20&gt;=48,"Tier 1",IF(P20&gt;=20,"Tier 2","Tier 3")))</f>
        <v/>
      </c>
      <c r="R20" s="23"/>
      <c r="S20" s="23"/>
      <c r="T20" s="23"/>
    </row>
    <row r="21" customFormat="false" ht="15" hidden="false" customHeight="false" outlineLevel="0" collapsed="false">
      <c r="A21" s="13" t="s">
        <v>647</v>
      </c>
      <c r="B21" s="23"/>
      <c r="C21" s="23"/>
      <c r="D21" s="23"/>
      <c r="E21" s="23"/>
      <c r="F21" s="23"/>
      <c r="G21" s="23"/>
      <c r="H21" s="23"/>
      <c r="I21" s="28"/>
      <c r="J21" s="28"/>
      <c r="K21" s="28"/>
      <c r="L21" s="28"/>
      <c r="M21" s="16"/>
      <c r="N21" s="16"/>
      <c r="O21" s="16"/>
      <c r="P21" s="14" t="str">
        <f aca="false">IF(COUNT(M21:O21)=3,M21*N21*O21,"")</f>
        <v/>
      </c>
      <c r="Q21" s="24" t="str">
        <f aca="false">IF(P21="","",IF(P21&gt;=48,"Tier 1",IF(P21&gt;=20,"Tier 2","Tier 3")))</f>
        <v/>
      </c>
      <c r="R21" s="23"/>
      <c r="S21" s="23"/>
      <c r="T21" s="23"/>
    </row>
    <row r="22" customFormat="false" ht="15" hidden="false" customHeight="false" outlineLevel="0" collapsed="false">
      <c r="A22" s="13" t="s">
        <v>648</v>
      </c>
      <c r="B22" s="23"/>
      <c r="C22" s="23"/>
      <c r="D22" s="23"/>
      <c r="E22" s="23"/>
      <c r="F22" s="23"/>
      <c r="G22" s="23"/>
      <c r="H22" s="23"/>
      <c r="I22" s="28"/>
      <c r="J22" s="28"/>
      <c r="K22" s="28"/>
      <c r="L22" s="28"/>
      <c r="M22" s="16"/>
      <c r="N22" s="16"/>
      <c r="O22" s="16"/>
      <c r="P22" s="14" t="str">
        <f aca="false">IF(COUNT(M22:O22)=3,M22*N22*O22,"")</f>
        <v/>
      </c>
      <c r="Q22" s="24" t="str">
        <f aca="false">IF(P22="","",IF(P22&gt;=48,"Tier 1",IF(P22&gt;=20,"Tier 2","Tier 3")))</f>
        <v/>
      </c>
      <c r="R22" s="23"/>
      <c r="S22" s="23"/>
      <c r="T22" s="23"/>
    </row>
    <row r="23" customFormat="false" ht="15" hidden="false" customHeight="false" outlineLevel="0" collapsed="false">
      <c r="A23" s="13" t="s">
        <v>649</v>
      </c>
      <c r="B23" s="23"/>
      <c r="C23" s="23"/>
      <c r="D23" s="23"/>
      <c r="E23" s="23"/>
      <c r="F23" s="23"/>
      <c r="G23" s="23"/>
      <c r="H23" s="23"/>
      <c r="I23" s="28"/>
      <c r="J23" s="28"/>
      <c r="K23" s="28"/>
      <c r="L23" s="28"/>
      <c r="M23" s="16"/>
      <c r="N23" s="16"/>
      <c r="O23" s="16"/>
      <c r="P23" s="14" t="str">
        <f aca="false">IF(COUNT(M23:O23)=3,M23*N23*O23,"")</f>
        <v/>
      </c>
      <c r="Q23" s="24" t="str">
        <f aca="false">IF(P23="","",IF(P23&gt;=48,"Tier 1",IF(P23&gt;=20,"Tier 2","Tier 3")))</f>
        <v/>
      </c>
      <c r="R23" s="23"/>
      <c r="S23" s="23"/>
      <c r="T23" s="23"/>
    </row>
    <row r="24" customFormat="false" ht="15" hidden="false" customHeight="false" outlineLevel="0" collapsed="false">
      <c r="A24" s="13" t="s">
        <v>650</v>
      </c>
      <c r="B24" s="23"/>
      <c r="C24" s="23"/>
      <c r="D24" s="23"/>
      <c r="E24" s="23"/>
      <c r="F24" s="23"/>
      <c r="G24" s="23"/>
      <c r="H24" s="23"/>
      <c r="I24" s="28"/>
      <c r="J24" s="28"/>
      <c r="K24" s="28"/>
      <c r="L24" s="28"/>
      <c r="M24" s="16"/>
      <c r="N24" s="16"/>
      <c r="O24" s="16"/>
      <c r="P24" s="14" t="str">
        <f aca="false">IF(COUNT(M24:O24)=3,M24*N24*O24,"")</f>
        <v/>
      </c>
      <c r="Q24" s="24" t="str">
        <f aca="false">IF(P24="","",IF(P24&gt;=48,"Tier 1",IF(P24&gt;=20,"Tier 2","Tier 3")))</f>
        <v/>
      </c>
      <c r="R24" s="23"/>
      <c r="S24" s="23"/>
      <c r="T24" s="23"/>
    </row>
    <row r="25" customFormat="false" ht="15" hidden="false" customHeight="false" outlineLevel="0" collapsed="false">
      <c r="A25" s="13" t="s">
        <v>651</v>
      </c>
      <c r="B25" s="23"/>
      <c r="C25" s="23"/>
      <c r="D25" s="23"/>
      <c r="E25" s="23"/>
      <c r="F25" s="23"/>
      <c r="G25" s="23"/>
      <c r="H25" s="23"/>
      <c r="I25" s="28"/>
      <c r="J25" s="28"/>
      <c r="K25" s="28"/>
      <c r="L25" s="28"/>
      <c r="M25" s="16"/>
      <c r="N25" s="16"/>
      <c r="O25" s="16"/>
      <c r="P25" s="14" t="str">
        <f aca="false">IF(COUNT(M25:O25)=3,M25*N25*O25,"")</f>
        <v/>
      </c>
      <c r="Q25" s="24" t="str">
        <f aca="false">IF(P25="","",IF(P25&gt;=48,"Tier 1",IF(P25&gt;=20,"Tier 2","Tier 3")))</f>
        <v/>
      </c>
      <c r="R25" s="23"/>
      <c r="S25" s="23"/>
      <c r="T25" s="23"/>
    </row>
    <row r="26" customFormat="false" ht="15" hidden="false" customHeight="false" outlineLevel="0" collapsed="false">
      <c r="A26" s="13" t="s">
        <v>652</v>
      </c>
      <c r="B26" s="23"/>
      <c r="C26" s="23"/>
      <c r="D26" s="23"/>
      <c r="E26" s="23"/>
      <c r="F26" s="23"/>
      <c r="G26" s="23"/>
      <c r="H26" s="23"/>
      <c r="I26" s="28"/>
      <c r="J26" s="28"/>
      <c r="K26" s="28"/>
      <c r="L26" s="28"/>
      <c r="M26" s="16"/>
      <c r="N26" s="16"/>
      <c r="O26" s="16"/>
      <c r="P26" s="14" t="str">
        <f aca="false">IF(COUNT(M26:O26)=3,M26*N26*O26,"")</f>
        <v/>
      </c>
      <c r="Q26" s="24" t="str">
        <f aca="false">IF(P26="","",IF(P26&gt;=48,"Tier 1",IF(P26&gt;=20,"Tier 2","Tier 3")))</f>
        <v/>
      </c>
      <c r="R26" s="23"/>
      <c r="S26" s="23"/>
      <c r="T26" s="23"/>
    </row>
    <row r="27" customFormat="false" ht="15" hidden="false" customHeight="false" outlineLevel="0" collapsed="false">
      <c r="A27" s="13" t="s">
        <v>653</v>
      </c>
      <c r="B27" s="23"/>
      <c r="C27" s="23"/>
      <c r="D27" s="23"/>
      <c r="E27" s="23"/>
      <c r="F27" s="23"/>
      <c r="G27" s="23"/>
      <c r="H27" s="23"/>
      <c r="I27" s="28"/>
      <c r="J27" s="28"/>
      <c r="K27" s="28"/>
      <c r="L27" s="28"/>
      <c r="M27" s="16"/>
      <c r="N27" s="16"/>
      <c r="O27" s="16"/>
      <c r="P27" s="14" t="str">
        <f aca="false">IF(COUNT(M27:O27)=3,M27*N27*O27,"")</f>
        <v/>
      </c>
      <c r="Q27" s="24" t="str">
        <f aca="false">IF(P27="","",IF(P27&gt;=48,"Tier 1",IF(P27&gt;=20,"Tier 2","Tier 3")))</f>
        <v/>
      </c>
      <c r="R27" s="23"/>
      <c r="S27" s="23"/>
      <c r="T27" s="23"/>
    </row>
    <row r="28" customFormat="false" ht="15" hidden="false" customHeight="false" outlineLevel="0" collapsed="false">
      <c r="A28" s="13" t="s">
        <v>654</v>
      </c>
      <c r="B28" s="23"/>
      <c r="C28" s="23"/>
      <c r="D28" s="23"/>
      <c r="E28" s="23"/>
      <c r="F28" s="23"/>
      <c r="G28" s="23"/>
      <c r="H28" s="23"/>
      <c r="I28" s="28"/>
      <c r="J28" s="28"/>
      <c r="K28" s="28"/>
      <c r="L28" s="28"/>
      <c r="M28" s="16"/>
      <c r="N28" s="16"/>
      <c r="O28" s="16"/>
      <c r="P28" s="14" t="str">
        <f aca="false">IF(COUNT(M28:O28)=3,M28*N28*O28,"")</f>
        <v/>
      </c>
      <c r="Q28" s="24" t="str">
        <f aca="false">IF(P28="","",IF(P28&gt;=48,"Tier 1",IF(P28&gt;=20,"Tier 2","Tier 3")))</f>
        <v/>
      </c>
      <c r="R28" s="23"/>
      <c r="S28" s="23"/>
      <c r="T28" s="23"/>
    </row>
    <row r="29" customFormat="false" ht="15" hidden="false" customHeight="false" outlineLevel="0" collapsed="false">
      <c r="A29" s="13" t="s">
        <v>655</v>
      </c>
      <c r="B29" s="23"/>
      <c r="C29" s="23"/>
      <c r="D29" s="23"/>
      <c r="E29" s="23"/>
      <c r="F29" s="23"/>
      <c r="G29" s="23"/>
      <c r="H29" s="23"/>
      <c r="I29" s="28"/>
      <c r="J29" s="28"/>
      <c r="K29" s="28"/>
      <c r="L29" s="28"/>
      <c r="M29" s="16"/>
      <c r="N29" s="16"/>
      <c r="O29" s="16"/>
      <c r="P29" s="14" t="str">
        <f aca="false">IF(COUNT(M29:O29)=3,M29*N29*O29,"")</f>
        <v/>
      </c>
      <c r="Q29" s="24" t="str">
        <f aca="false">IF(P29="","",IF(P29&gt;=48,"Tier 1",IF(P29&gt;=20,"Tier 2","Tier 3")))</f>
        <v/>
      </c>
      <c r="R29" s="23"/>
      <c r="S29" s="23"/>
      <c r="T29" s="23"/>
    </row>
    <row r="30" customFormat="false" ht="15" hidden="false" customHeight="false" outlineLevel="0" collapsed="false">
      <c r="A30" s="13" t="s">
        <v>656</v>
      </c>
      <c r="B30" s="23"/>
      <c r="C30" s="23"/>
      <c r="D30" s="23"/>
      <c r="E30" s="23"/>
      <c r="F30" s="23"/>
      <c r="G30" s="23"/>
      <c r="H30" s="23"/>
      <c r="I30" s="28"/>
      <c r="J30" s="28"/>
      <c r="K30" s="28"/>
      <c r="L30" s="28"/>
      <c r="M30" s="16"/>
      <c r="N30" s="16"/>
      <c r="O30" s="16"/>
      <c r="P30" s="14" t="str">
        <f aca="false">IF(COUNT(M30:O30)=3,M30*N30*O30,"")</f>
        <v/>
      </c>
      <c r="Q30" s="24" t="str">
        <f aca="false">IF(P30="","",IF(P30&gt;=48,"Tier 1",IF(P30&gt;=20,"Tier 2","Tier 3")))</f>
        <v/>
      </c>
      <c r="R30" s="23"/>
      <c r="S30" s="23"/>
      <c r="T30" s="23"/>
    </row>
    <row r="31" customFormat="false" ht="15" hidden="false" customHeight="false" outlineLevel="0" collapsed="false">
      <c r="A31" s="13" t="s">
        <v>657</v>
      </c>
      <c r="B31" s="23"/>
      <c r="C31" s="23"/>
      <c r="D31" s="23"/>
      <c r="E31" s="23"/>
      <c r="F31" s="23"/>
      <c r="G31" s="23"/>
      <c r="H31" s="23"/>
      <c r="I31" s="28"/>
      <c r="J31" s="28"/>
      <c r="K31" s="28"/>
      <c r="L31" s="28"/>
      <c r="M31" s="16"/>
      <c r="N31" s="16"/>
      <c r="O31" s="16"/>
      <c r="P31" s="14" t="str">
        <f aca="false">IF(COUNT(M31:O31)=3,M31*N31*O31,"")</f>
        <v/>
      </c>
      <c r="Q31" s="24" t="str">
        <f aca="false">IF(P31="","",IF(P31&gt;=48,"Tier 1",IF(P31&gt;=20,"Tier 2","Tier 3")))</f>
        <v/>
      </c>
      <c r="R31" s="23"/>
      <c r="S31" s="23"/>
      <c r="T31" s="23"/>
    </row>
    <row r="32" customFormat="false" ht="15" hidden="false" customHeight="false" outlineLevel="0" collapsed="false">
      <c r="A32" s="13" t="s">
        <v>658</v>
      </c>
      <c r="B32" s="23"/>
      <c r="C32" s="23"/>
      <c r="D32" s="23"/>
      <c r="E32" s="23"/>
      <c r="F32" s="23"/>
      <c r="G32" s="23"/>
      <c r="H32" s="23"/>
      <c r="I32" s="28"/>
      <c r="J32" s="28"/>
      <c r="K32" s="28"/>
      <c r="L32" s="28"/>
      <c r="M32" s="16"/>
      <c r="N32" s="16"/>
      <c r="O32" s="16"/>
      <c r="P32" s="14" t="str">
        <f aca="false">IF(COUNT(M32:O32)=3,M32*N32*O32,"")</f>
        <v/>
      </c>
      <c r="Q32" s="24" t="str">
        <f aca="false">IF(P32="","",IF(P32&gt;=48,"Tier 1",IF(P32&gt;=20,"Tier 2","Tier 3")))</f>
        <v/>
      </c>
      <c r="R32" s="23"/>
      <c r="S32" s="23"/>
      <c r="T32" s="23"/>
    </row>
    <row r="33" customFormat="false" ht="15" hidden="false" customHeight="false" outlineLevel="0" collapsed="false">
      <c r="A33" s="13" t="s">
        <v>659</v>
      </c>
      <c r="B33" s="23"/>
      <c r="C33" s="23"/>
      <c r="D33" s="23"/>
      <c r="E33" s="23"/>
      <c r="F33" s="23"/>
      <c r="G33" s="23"/>
      <c r="H33" s="23"/>
      <c r="I33" s="28"/>
      <c r="J33" s="28"/>
      <c r="K33" s="28"/>
      <c r="L33" s="28"/>
      <c r="M33" s="16"/>
      <c r="N33" s="16"/>
      <c r="O33" s="16"/>
      <c r="P33" s="14" t="str">
        <f aca="false">IF(COUNT(M33:O33)=3,M33*N33*O33,"")</f>
        <v/>
      </c>
      <c r="Q33" s="24" t="str">
        <f aca="false">IF(P33="","",IF(P33&gt;=48,"Tier 1",IF(P33&gt;=20,"Tier 2","Tier 3")))</f>
        <v/>
      </c>
      <c r="R33" s="23"/>
      <c r="S33" s="23"/>
      <c r="T33" s="23"/>
    </row>
    <row r="34" customFormat="false" ht="15" hidden="false" customHeight="false" outlineLevel="0" collapsed="false">
      <c r="A34" s="13" t="s">
        <v>660</v>
      </c>
      <c r="B34" s="23"/>
      <c r="C34" s="23"/>
      <c r="D34" s="23"/>
      <c r="E34" s="23"/>
      <c r="F34" s="23"/>
      <c r="G34" s="23"/>
      <c r="H34" s="23"/>
      <c r="I34" s="28"/>
      <c r="J34" s="28"/>
      <c r="K34" s="28"/>
      <c r="L34" s="28"/>
      <c r="M34" s="16"/>
      <c r="N34" s="16"/>
      <c r="O34" s="16"/>
      <c r="P34" s="14" t="str">
        <f aca="false">IF(COUNT(M34:O34)=3,M34*N34*O34,"")</f>
        <v/>
      </c>
      <c r="Q34" s="24" t="str">
        <f aca="false">IF(P34="","",IF(P34&gt;=48,"Tier 1",IF(P34&gt;=20,"Tier 2","Tier 3")))</f>
        <v/>
      </c>
      <c r="R34" s="23"/>
      <c r="S34" s="23"/>
      <c r="T34" s="23"/>
    </row>
    <row r="35" customFormat="false" ht="15" hidden="false" customHeight="false" outlineLevel="0" collapsed="false">
      <c r="A35" s="13" t="s">
        <v>661</v>
      </c>
      <c r="B35" s="23"/>
      <c r="C35" s="23"/>
      <c r="D35" s="23"/>
      <c r="E35" s="23"/>
      <c r="F35" s="23"/>
      <c r="G35" s="23"/>
      <c r="H35" s="23"/>
      <c r="I35" s="28"/>
      <c r="J35" s="28"/>
      <c r="K35" s="28"/>
      <c r="L35" s="28"/>
      <c r="M35" s="16"/>
      <c r="N35" s="16"/>
      <c r="O35" s="16"/>
      <c r="P35" s="14" t="str">
        <f aca="false">IF(COUNT(M35:O35)=3,M35*N35*O35,"")</f>
        <v/>
      </c>
      <c r="Q35" s="24" t="str">
        <f aca="false">IF(P35="","",IF(P35&gt;=48,"Tier 1",IF(P35&gt;=20,"Tier 2","Tier 3")))</f>
        <v/>
      </c>
      <c r="R35" s="23"/>
      <c r="S35" s="23"/>
      <c r="T35" s="23"/>
    </row>
    <row r="36" customFormat="false" ht="15" hidden="false" customHeight="false" outlineLevel="0" collapsed="false">
      <c r="A36" s="13" t="s">
        <v>662</v>
      </c>
      <c r="B36" s="23"/>
      <c r="C36" s="23"/>
      <c r="D36" s="23"/>
      <c r="E36" s="23"/>
      <c r="F36" s="23"/>
      <c r="G36" s="23"/>
      <c r="H36" s="23"/>
      <c r="I36" s="28"/>
      <c r="J36" s="28"/>
      <c r="K36" s="28"/>
      <c r="L36" s="28"/>
      <c r="M36" s="16"/>
      <c r="N36" s="16"/>
      <c r="O36" s="16"/>
      <c r="P36" s="14" t="str">
        <f aca="false">IF(COUNT(M36:O36)=3,M36*N36*O36,"")</f>
        <v/>
      </c>
      <c r="Q36" s="24" t="str">
        <f aca="false">IF(P36="","",IF(P36&gt;=48,"Tier 1",IF(P36&gt;=20,"Tier 2","Tier 3")))</f>
        <v/>
      </c>
      <c r="R36" s="23"/>
      <c r="S36" s="23"/>
      <c r="T36" s="23"/>
    </row>
    <row r="37" customFormat="false" ht="15" hidden="false" customHeight="false" outlineLevel="0" collapsed="false">
      <c r="A37" s="13" t="s">
        <v>663</v>
      </c>
      <c r="B37" s="23"/>
      <c r="C37" s="23"/>
      <c r="D37" s="23"/>
      <c r="E37" s="23"/>
      <c r="F37" s="23"/>
      <c r="G37" s="23"/>
      <c r="H37" s="23"/>
      <c r="I37" s="28"/>
      <c r="J37" s="28"/>
      <c r="K37" s="28"/>
      <c r="L37" s="28"/>
      <c r="M37" s="16"/>
      <c r="N37" s="16"/>
      <c r="O37" s="16"/>
      <c r="P37" s="14" t="str">
        <f aca="false">IF(COUNT(M37:O37)=3,M37*N37*O37,"")</f>
        <v/>
      </c>
      <c r="Q37" s="24" t="str">
        <f aca="false">IF(P37="","",IF(P37&gt;=48,"Tier 1",IF(P37&gt;=20,"Tier 2","Tier 3")))</f>
        <v/>
      </c>
      <c r="R37" s="23"/>
      <c r="S37" s="23"/>
      <c r="T37" s="23"/>
    </row>
    <row r="38" customFormat="false" ht="15" hidden="false" customHeight="false" outlineLevel="0" collapsed="false">
      <c r="A38" s="13" t="s">
        <v>664</v>
      </c>
      <c r="B38" s="23"/>
      <c r="C38" s="23"/>
      <c r="D38" s="23"/>
      <c r="E38" s="23"/>
      <c r="F38" s="23"/>
      <c r="G38" s="23"/>
      <c r="H38" s="23"/>
      <c r="I38" s="28"/>
      <c r="J38" s="28"/>
      <c r="K38" s="28"/>
      <c r="L38" s="28"/>
      <c r="M38" s="16"/>
      <c r="N38" s="16"/>
      <c r="O38" s="16"/>
      <c r="P38" s="14" t="str">
        <f aca="false">IF(COUNT(M38:O38)=3,M38*N38*O38,"")</f>
        <v/>
      </c>
      <c r="Q38" s="24" t="str">
        <f aca="false">IF(P38="","",IF(P38&gt;=48,"Tier 1",IF(P38&gt;=20,"Tier 2","Tier 3")))</f>
        <v/>
      </c>
      <c r="R38" s="23"/>
      <c r="S38" s="23"/>
      <c r="T38" s="23"/>
    </row>
    <row r="39" customFormat="false" ht="15" hidden="false" customHeight="false" outlineLevel="0" collapsed="false">
      <c r="A39" s="13" t="s">
        <v>665</v>
      </c>
      <c r="B39" s="23"/>
      <c r="C39" s="23"/>
      <c r="D39" s="23"/>
      <c r="E39" s="23"/>
      <c r="F39" s="23"/>
      <c r="G39" s="23"/>
      <c r="H39" s="23"/>
      <c r="I39" s="28"/>
      <c r="J39" s="28"/>
      <c r="K39" s="28"/>
      <c r="L39" s="28"/>
      <c r="M39" s="16"/>
      <c r="N39" s="16"/>
      <c r="O39" s="16"/>
      <c r="P39" s="14" t="str">
        <f aca="false">IF(COUNT(M39:O39)=3,M39*N39*O39,"")</f>
        <v/>
      </c>
      <c r="Q39" s="24" t="str">
        <f aca="false">IF(P39="","",IF(P39&gt;=48,"Tier 1",IF(P39&gt;=20,"Tier 2","Tier 3")))</f>
        <v/>
      </c>
      <c r="R39" s="23"/>
      <c r="S39" s="23"/>
      <c r="T39" s="23"/>
    </row>
    <row r="40" customFormat="false" ht="15" hidden="false" customHeight="false" outlineLevel="0" collapsed="false">
      <c r="A40" s="13" t="s">
        <v>666</v>
      </c>
      <c r="B40" s="23"/>
      <c r="C40" s="23"/>
      <c r="D40" s="23"/>
      <c r="E40" s="23"/>
      <c r="F40" s="23"/>
      <c r="G40" s="23"/>
      <c r="H40" s="23"/>
      <c r="I40" s="28"/>
      <c r="J40" s="28"/>
      <c r="K40" s="28"/>
      <c r="L40" s="28"/>
      <c r="M40" s="16"/>
      <c r="N40" s="16"/>
      <c r="O40" s="16"/>
      <c r="P40" s="14" t="str">
        <f aca="false">IF(COUNT(M40:O40)=3,M40*N40*O40,"")</f>
        <v/>
      </c>
      <c r="Q40" s="24" t="str">
        <f aca="false">IF(P40="","",IF(P40&gt;=48,"Tier 1",IF(P40&gt;=20,"Tier 2","Tier 3")))</f>
        <v/>
      </c>
      <c r="R40" s="23"/>
      <c r="S40" s="23"/>
      <c r="T40" s="23"/>
    </row>
    <row r="41" customFormat="false" ht="15" hidden="false" customHeight="false" outlineLevel="0" collapsed="false">
      <c r="A41" s="13" t="s">
        <v>667</v>
      </c>
      <c r="B41" s="23"/>
      <c r="C41" s="23"/>
      <c r="D41" s="23"/>
      <c r="E41" s="23"/>
      <c r="F41" s="23"/>
      <c r="G41" s="23"/>
      <c r="H41" s="23"/>
      <c r="I41" s="28"/>
      <c r="J41" s="28"/>
      <c r="K41" s="28"/>
      <c r="L41" s="28"/>
      <c r="M41" s="16"/>
      <c r="N41" s="16"/>
      <c r="O41" s="16"/>
      <c r="P41" s="14" t="str">
        <f aca="false">IF(COUNT(M41:O41)=3,M41*N41*O41,"")</f>
        <v/>
      </c>
      <c r="Q41" s="24" t="str">
        <f aca="false">IF(P41="","",IF(P41&gt;=48,"Tier 1",IF(P41&gt;=20,"Tier 2","Tier 3")))</f>
        <v/>
      </c>
      <c r="R41" s="23"/>
      <c r="S41" s="23"/>
      <c r="T41" s="23"/>
    </row>
    <row r="42" customFormat="false" ht="15" hidden="false" customHeight="false" outlineLevel="0" collapsed="false">
      <c r="A42" s="13" t="s">
        <v>668</v>
      </c>
      <c r="B42" s="23"/>
      <c r="C42" s="23"/>
      <c r="D42" s="23"/>
      <c r="E42" s="23"/>
      <c r="F42" s="23"/>
      <c r="G42" s="23"/>
      <c r="H42" s="23"/>
      <c r="I42" s="28"/>
      <c r="J42" s="28"/>
      <c r="K42" s="28"/>
      <c r="L42" s="28"/>
      <c r="M42" s="16"/>
      <c r="N42" s="16"/>
      <c r="O42" s="16"/>
      <c r="P42" s="14" t="str">
        <f aca="false">IF(COUNT(M42:O42)=3,M42*N42*O42,"")</f>
        <v/>
      </c>
      <c r="Q42" s="24" t="str">
        <f aca="false">IF(P42="","",IF(P42&gt;=48,"Tier 1",IF(P42&gt;=20,"Tier 2","Tier 3")))</f>
        <v/>
      </c>
      <c r="R42" s="23"/>
      <c r="S42" s="23"/>
      <c r="T42" s="23"/>
    </row>
    <row r="43" customFormat="false" ht="15" hidden="false" customHeight="false" outlineLevel="0" collapsed="false">
      <c r="A43" s="13" t="s">
        <v>669</v>
      </c>
      <c r="B43" s="23"/>
      <c r="C43" s="23"/>
      <c r="D43" s="23"/>
      <c r="E43" s="23"/>
      <c r="F43" s="23"/>
      <c r="G43" s="23"/>
      <c r="H43" s="23"/>
      <c r="I43" s="28"/>
      <c r="J43" s="28"/>
      <c r="K43" s="28"/>
      <c r="L43" s="28"/>
      <c r="M43" s="16"/>
      <c r="N43" s="16"/>
      <c r="O43" s="16"/>
      <c r="P43" s="14" t="str">
        <f aca="false">IF(COUNT(M43:O43)=3,M43*N43*O43,"")</f>
        <v/>
      </c>
      <c r="Q43" s="24" t="str">
        <f aca="false">IF(P43="","",IF(P43&gt;=48,"Tier 1",IF(P43&gt;=20,"Tier 2","Tier 3")))</f>
        <v/>
      </c>
      <c r="R43" s="23"/>
      <c r="S43" s="23"/>
      <c r="T43" s="23"/>
    </row>
    <row r="44" customFormat="false" ht="15" hidden="false" customHeight="false" outlineLevel="0" collapsed="false">
      <c r="A44" s="13" t="s">
        <v>670</v>
      </c>
      <c r="B44" s="23"/>
      <c r="C44" s="23"/>
      <c r="D44" s="23"/>
      <c r="E44" s="23"/>
      <c r="F44" s="23"/>
      <c r="G44" s="23"/>
      <c r="H44" s="23"/>
      <c r="I44" s="28"/>
      <c r="J44" s="28"/>
      <c r="K44" s="28"/>
      <c r="L44" s="28"/>
      <c r="M44" s="16"/>
      <c r="N44" s="16"/>
      <c r="O44" s="16"/>
      <c r="P44" s="14" t="str">
        <f aca="false">IF(COUNT(M44:O44)=3,M44*N44*O44,"")</f>
        <v/>
      </c>
      <c r="Q44" s="24" t="str">
        <f aca="false">IF(P44="","",IF(P44&gt;=48,"Tier 1",IF(P44&gt;=20,"Tier 2","Tier 3")))</f>
        <v/>
      </c>
      <c r="R44" s="23"/>
      <c r="S44" s="23"/>
      <c r="T44" s="23"/>
    </row>
    <row r="45" customFormat="false" ht="15" hidden="false" customHeight="false" outlineLevel="0" collapsed="false">
      <c r="A45" s="13" t="s">
        <v>671</v>
      </c>
      <c r="B45" s="23"/>
      <c r="C45" s="23"/>
      <c r="D45" s="23"/>
      <c r="E45" s="23"/>
      <c r="F45" s="23"/>
      <c r="G45" s="23"/>
      <c r="H45" s="23"/>
      <c r="I45" s="28"/>
      <c r="J45" s="28"/>
      <c r="K45" s="28"/>
      <c r="L45" s="28"/>
      <c r="M45" s="16"/>
      <c r="N45" s="16"/>
      <c r="O45" s="16"/>
      <c r="P45" s="14" t="str">
        <f aca="false">IF(COUNT(M45:O45)=3,M45*N45*O45,"")</f>
        <v/>
      </c>
      <c r="Q45" s="24" t="str">
        <f aca="false">IF(P45="","",IF(P45&gt;=48,"Tier 1",IF(P45&gt;=20,"Tier 2","Tier 3")))</f>
        <v/>
      </c>
      <c r="R45" s="23"/>
      <c r="S45" s="23"/>
      <c r="T45" s="23"/>
    </row>
    <row r="46" customFormat="false" ht="15" hidden="false" customHeight="false" outlineLevel="0" collapsed="false">
      <c r="A46" s="13" t="s">
        <v>672</v>
      </c>
      <c r="B46" s="23"/>
      <c r="C46" s="23"/>
      <c r="D46" s="23"/>
      <c r="E46" s="23"/>
      <c r="F46" s="23"/>
      <c r="G46" s="23"/>
      <c r="H46" s="23"/>
      <c r="I46" s="28"/>
      <c r="J46" s="28"/>
      <c r="K46" s="28"/>
      <c r="L46" s="28"/>
      <c r="M46" s="16"/>
      <c r="N46" s="16"/>
      <c r="O46" s="16"/>
      <c r="P46" s="14" t="str">
        <f aca="false">IF(COUNT(M46:O46)=3,M46*N46*O46,"")</f>
        <v/>
      </c>
      <c r="Q46" s="24" t="str">
        <f aca="false">IF(P46="","",IF(P46&gt;=48,"Tier 1",IF(P46&gt;=20,"Tier 2","Tier 3")))</f>
        <v/>
      </c>
      <c r="R46" s="23"/>
      <c r="S46" s="23"/>
      <c r="T46" s="23"/>
    </row>
    <row r="47" customFormat="false" ht="15" hidden="false" customHeight="false" outlineLevel="0" collapsed="false">
      <c r="A47" s="13" t="s">
        <v>673</v>
      </c>
      <c r="B47" s="23"/>
      <c r="C47" s="23"/>
      <c r="D47" s="23"/>
      <c r="E47" s="23"/>
      <c r="F47" s="23"/>
      <c r="G47" s="23"/>
      <c r="H47" s="23"/>
      <c r="I47" s="28"/>
      <c r="J47" s="28"/>
      <c r="K47" s="28"/>
      <c r="L47" s="28"/>
      <c r="M47" s="16"/>
      <c r="N47" s="16"/>
      <c r="O47" s="16"/>
      <c r="P47" s="14" t="str">
        <f aca="false">IF(COUNT(M47:O47)=3,M47*N47*O47,"")</f>
        <v/>
      </c>
      <c r="Q47" s="24" t="str">
        <f aca="false">IF(P47="","",IF(P47&gt;=48,"Tier 1",IF(P47&gt;=20,"Tier 2","Tier 3")))</f>
        <v/>
      </c>
      <c r="R47" s="23"/>
      <c r="S47" s="23"/>
      <c r="T47" s="23"/>
    </row>
    <row r="48" customFormat="false" ht="15" hidden="false" customHeight="false" outlineLevel="0" collapsed="false">
      <c r="A48" s="13" t="s">
        <v>674</v>
      </c>
      <c r="B48" s="23"/>
      <c r="C48" s="23"/>
      <c r="D48" s="23"/>
      <c r="E48" s="23"/>
      <c r="F48" s="23"/>
      <c r="G48" s="23"/>
      <c r="H48" s="23"/>
      <c r="I48" s="28"/>
      <c r="J48" s="28"/>
      <c r="K48" s="28"/>
      <c r="L48" s="28"/>
      <c r="M48" s="16"/>
      <c r="N48" s="16"/>
      <c r="O48" s="16"/>
      <c r="P48" s="14" t="str">
        <f aca="false">IF(COUNT(M48:O48)=3,M48*N48*O48,"")</f>
        <v/>
      </c>
      <c r="Q48" s="24" t="str">
        <f aca="false">IF(P48="","",IF(P48&gt;=48,"Tier 1",IF(P48&gt;=20,"Tier 2","Tier 3")))</f>
        <v/>
      </c>
      <c r="R48" s="23"/>
      <c r="S48" s="23"/>
      <c r="T48" s="23"/>
    </row>
    <row r="49" customFormat="false" ht="15" hidden="false" customHeight="false" outlineLevel="0" collapsed="false">
      <c r="A49" s="13" t="s">
        <v>675</v>
      </c>
      <c r="B49" s="23"/>
      <c r="C49" s="23"/>
      <c r="D49" s="23"/>
      <c r="E49" s="23"/>
      <c r="F49" s="23"/>
      <c r="G49" s="23"/>
      <c r="H49" s="23"/>
      <c r="I49" s="28"/>
      <c r="J49" s="28"/>
      <c r="K49" s="28"/>
      <c r="L49" s="28"/>
      <c r="M49" s="16"/>
      <c r="N49" s="16"/>
      <c r="O49" s="16"/>
      <c r="P49" s="14" t="str">
        <f aca="false">IF(COUNT(M49:O49)=3,M49*N49*O49,"")</f>
        <v/>
      </c>
      <c r="Q49" s="24" t="str">
        <f aca="false">IF(P49="","",IF(P49&gt;=48,"Tier 1",IF(P49&gt;=20,"Tier 2","Tier 3")))</f>
        <v/>
      </c>
      <c r="R49" s="23"/>
      <c r="S49" s="23"/>
      <c r="T49" s="23"/>
    </row>
    <row r="50" customFormat="false" ht="15" hidden="false" customHeight="false" outlineLevel="0" collapsed="false">
      <c r="A50" s="13" t="s">
        <v>676</v>
      </c>
      <c r="B50" s="23"/>
      <c r="C50" s="23"/>
      <c r="D50" s="23"/>
      <c r="E50" s="23"/>
      <c r="F50" s="23"/>
      <c r="G50" s="23"/>
      <c r="H50" s="23"/>
      <c r="I50" s="28"/>
      <c r="J50" s="28"/>
      <c r="K50" s="28"/>
      <c r="L50" s="28"/>
      <c r="M50" s="16"/>
      <c r="N50" s="16"/>
      <c r="O50" s="16"/>
      <c r="P50" s="14" t="str">
        <f aca="false">IF(COUNT(M50:O50)=3,M50*N50*O50,"")</f>
        <v/>
      </c>
      <c r="Q50" s="24" t="str">
        <f aca="false">IF(P50="","",IF(P50&gt;=48,"Tier 1",IF(P50&gt;=20,"Tier 2","Tier 3")))</f>
        <v/>
      </c>
      <c r="R50" s="23"/>
      <c r="S50" s="23"/>
      <c r="T50" s="23"/>
    </row>
    <row r="51" customFormat="false" ht="15" hidden="false" customHeight="false" outlineLevel="0" collapsed="false">
      <c r="A51" s="13" t="s">
        <v>677</v>
      </c>
      <c r="B51" s="23"/>
      <c r="C51" s="23"/>
      <c r="D51" s="23"/>
      <c r="E51" s="23"/>
      <c r="F51" s="23"/>
      <c r="G51" s="23"/>
      <c r="H51" s="23"/>
      <c r="I51" s="28"/>
      <c r="J51" s="28"/>
      <c r="K51" s="28"/>
      <c r="L51" s="28"/>
      <c r="M51" s="16"/>
      <c r="N51" s="16"/>
      <c r="O51" s="16"/>
      <c r="P51" s="14" t="str">
        <f aca="false">IF(COUNT(M51:O51)=3,M51*N51*O51,"")</f>
        <v/>
      </c>
      <c r="Q51" s="24" t="str">
        <f aca="false">IF(P51="","",IF(P51&gt;=48,"Tier 1",IF(P51&gt;=20,"Tier 2","Tier 3")))</f>
        <v/>
      </c>
      <c r="R51" s="23"/>
      <c r="S51" s="23"/>
      <c r="T51" s="23"/>
    </row>
    <row r="52" customFormat="false" ht="15" hidden="false" customHeight="false" outlineLevel="0" collapsed="false">
      <c r="A52" s="13" t="s">
        <v>678</v>
      </c>
      <c r="B52" s="23"/>
      <c r="C52" s="23"/>
      <c r="D52" s="23"/>
      <c r="E52" s="23"/>
      <c r="F52" s="23"/>
      <c r="G52" s="23"/>
      <c r="H52" s="23"/>
      <c r="I52" s="28"/>
      <c r="J52" s="28"/>
      <c r="K52" s="28"/>
      <c r="L52" s="28"/>
      <c r="M52" s="16"/>
      <c r="N52" s="16"/>
      <c r="O52" s="16"/>
      <c r="P52" s="14" t="str">
        <f aca="false">IF(COUNT(M52:O52)=3,M52*N52*O52,"")</f>
        <v/>
      </c>
      <c r="Q52" s="24" t="str">
        <f aca="false">IF(P52="","",IF(P52&gt;=48,"Tier 1",IF(P52&gt;=20,"Tier 2","Tier 3")))</f>
        <v/>
      </c>
      <c r="R52" s="23"/>
      <c r="S52" s="23"/>
      <c r="T52" s="23"/>
    </row>
    <row r="53" customFormat="false" ht="15" hidden="false" customHeight="false" outlineLevel="0" collapsed="false">
      <c r="A53" s="13" t="s">
        <v>679</v>
      </c>
      <c r="B53" s="23"/>
      <c r="C53" s="23"/>
      <c r="D53" s="23"/>
      <c r="E53" s="23"/>
      <c r="F53" s="23"/>
      <c r="G53" s="23"/>
      <c r="H53" s="23"/>
      <c r="I53" s="28"/>
      <c r="J53" s="28"/>
      <c r="K53" s="28"/>
      <c r="L53" s="28"/>
      <c r="M53" s="16"/>
      <c r="N53" s="16"/>
      <c r="O53" s="16"/>
      <c r="P53" s="14" t="str">
        <f aca="false">IF(COUNT(M53:O53)=3,M53*N53*O53,"")</f>
        <v/>
      </c>
      <c r="Q53" s="24" t="str">
        <f aca="false">IF(P53="","",IF(P53&gt;=48,"Tier 1",IF(P53&gt;=20,"Tier 2","Tier 3")))</f>
        <v/>
      </c>
      <c r="R53" s="23"/>
      <c r="S53" s="23"/>
      <c r="T53" s="23"/>
    </row>
    <row r="54" customFormat="false" ht="15" hidden="false" customHeight="false" outlineLevel="0" collapsed="false">
      <c r="A54" s="13" t="s">
        <v>680</v>
      </c>
      <c r="B54" s="23"/>
      <c r="C54" s="23"/>
      <c r="D54" s="23"/>
      <c r="E54" s="23"/>
      <c r="F54" s="23"/>
      <c r="G54" s="23"/>
      <c r="H54" s="23"/>
      <c r="I54" s="28"/>
      <c r="J54" s="28"/>
      <c r="K54" s="28"/>
      <c r="L54" s="28"/>
      <c r="M54" s="16"/>
      <c r="N54" s="16"/>
      <c r="O54" s="16"/>
      <c r="P54" s="14" t="str">
        <f aca="false">IF(COUNT(M54:O54)=3,M54*N54*O54,"")</f>
        <v/>
      </c>
      <c r="Q54" s="24" t="str">
        <f aca="false">IF(P54="","",IF(P54&gt;=48,"Tier 1",IF(P54&gt;=20,"Tier 2","Tier 3")))</f>
        <v/>
      </c>
      <c r="R54" s="23"/>
      <c r="S54" s="23"/>
      <c r="T54" s="23"/>
    </row>
    <row r="55" customFormat="false" ht="15" hidden="false" customHeight="false" outlineLevel="0" collapsed="false">
      <c r="A55" s="13" t="s">
        <v>681</v>
      </c>
      <c r="B55" s="23"/>
      <c r="C55" s="23"/>
      <c r="D55" s="23"/>
      <c r="E55" s="23"/>
      <c r="F55" s="23"/>
      <c r="G55" s="23"/>
      <c r="H55" s="23"/>
      <c r="I55" s="28"/>
      <c r="J55" s="28"/>
      <c r="K55" s="28"/>
      <c r="L55" s="28"/>
      <c r="M55" s="16"/>
      <c r="N55" s="16"/>
      <c r="O55" s="16"/>
      <c r="P55" s="14" t="str">
        <f aca="false">IF(COUNT(M55:O55)=3,M55*N55*O55,"")</f>
        <v/>
      </c>
      <c r="Q55" s="24" t="str">
        <f aca="false">IF(P55="","",IF(P55&gt;=48,"Tier 1",IF(P55&gt;=20,"Tier 2","Tier 3")))</f>
        <v/>
      </c>
      <c r="R55" s="23"/>
      <c r="S55" s="23"/>
      <c r="T55" s="23"/>
    </row>
    <row r="56" customFormat="false" ht="15" hidden="false" customHeight="false" outlineLevel="0" collapsed="false">
      <c r="A56" s="13" t="s">
        <v>682</v>
      </c>
      <c r="B56" s="23"/>
      <c r="C56" s="23"/>
      <c r="D56" s="23"/>
      <c r="E56" s="23"/>
      <c r="F56" s="23"/>
      <c r="G56" s="23"/>
      <c r="H56" s="23"/>
      <c r="I56" s="28"/>
      <c r="J56" s="28"/>
      <c r="K56" s="28"/>
      <c r="L56" s="28"/>
      <c r="M56" s="16"/>
      <c r="N56" s="16"/>
      <c r="O56" s="16"/>
      <c r="P56" s="14" t="str">
        <f aca="false">IF(COUNT(M56:O56)=3,M56*N56*O56,"")</f>
        <v/>
      </c>
      <c r="Q56" s="24" t="str">
        <f aca="false">IF(P56="","",IF(P56&gt;=48,"Tier 1",IF(P56&gt;=20,"Tier 2","Tier 3")))</f>
        <v/>
      </c>
      <c r="R56" s="23"/>
      <c r="S56" s="23"/>
      <c r="T56" s="23"/>
    </row>
    <row r="57" customFormat="false" ht="15" hidden="false" customHeight="false" outlineLevel="0" collapsed="false">
      <c r="A57" s="13" t="s">
        <v>683</v>
      </c>
      <c r="B57" s="23"/>
      <c r="C57" s="23"/>
      <c r="D57" s="23"/>
      <c r="E57" s="23"/>
      <c r="F57" s="23"/>
      <c r="G57" s="23"/>
      <c r="H57" s="23"/>
      <c r="I57" s="28"/>
      <c r="J57" s="28"/>
      <c r="K57" s="28"/>
      <c r="L57" s="28"/>
      <c r="M57" s="16"/>
      <c r="N57" s="16"/>
      <c r="O57" s="16"/>
      <c r="P57" s="14" t="str">
        <f aca="false">IF(COUNT(M57:O57)=3,M57*N57*O57,"")</f>
        <v/>
      </c>
      <c r="Q57" s="24" t="str">
        <f aca="false">IF(P57="","",IF(P57&gt;=48,"Tier 1",IF(P57&gt;=20,"Tier 2","Tier 3")))</f>
        <v/>
      </c>
      <c r="R57" s="23"/>
      <c r="S57" s="23"/>
      <c r="T57" s="23"/>
    </row>
    <row r="58" customFormat="false" ht="15" hidden="false" customHeight="false" outlineLevel="0" collapsed="false">
      <c r="A58" s="13" t="s">
        <v>684</v>
      </c>
      <c r="B58" s="23"/>
      <c r="C58" s="23"/>
      <c r="D58" s="23"/>
      <c r="E58" s="23"/>
      <c r="F58" s="23"/>
      <c r="G58" s="23"/>
      <c r="H58" s="23"/>
      <c r="I58" s="28"/>
      <c r="J58" s="28"/>
      <c r="K58" s="28"/>
      <c r="L58" s="28"/>
      <c r="M58" s="16"/>
      <c r="N58" s="16"/>
      <c r="O58" s="16"/>
      <c r="P58" s="14" t="str">
        <f aca="false">IF(COUNT(M58:O58)=3,M58*N58*O58,"")</f>
        <v/>
      </c>
      <c r="Q58" s="24" t="str">
        <f aca="false">IF(P58="","",IF(P58&gt;=48,"Tier 1",IF(P58&gt;=20,"Tier 2","Tier 3")))</f>
        <v/>
      </c>
      <c r="R58" s="23"/>
      <c r="S58" s="23"/>
      <c r="T58" s="23"/>
    </row>
    <row r="59" customFormat="false" ht="15" hidden="false" customHeight="false" outlineLevel="0" collapsed="false">
      <c r="A59" s="13" t="s">
        <v>685</v>
      </c>
      <c r="B59" s="23"/>
      <c r="C59" s="23"/>
      <c r="D59" s="23"/>
      <c r="E59" s="23"/>
      <c r="F59" s="23"/>
      <c r="G59" s="23"/>
      <c r="H59" s="23"/>
      <c r="I59" s="28"/>
      <c r="J59" s="28"/>
      <c r="K59" s="28"/>
      <c r="L59" s="28"/>
      <c r="M59" s="16"/>
      <c r="N59" s="16"/>
      <c r="O59" s="16"/>
      <c r="P59" s="14" t="str">
        <f aca="false">IF(COUNT(M59:O59)=3,M59*N59*O59,"")</f>
        <v/>
      </c>
      <c r="Q59" s="24" t="str">
        <f aca="false">IF(P59="","",IF(P59&gt;=48,"Tier 1",IF(P59&gt;=20,"Tier 2","Tier 3")))</f>
        <v/>
      </c>
      <c r="R59" s="23"/>
      <c r="S59" s="23"/>
      <c r="T59" s="23"/>
    </row>
    <row r="60" customFormat="false" ht="15" hidden="false" customHeight="false" outlineLevel="0" collapsed="false">
      <c r="A60" s="13" t="s">
        <v>686</v>
      </c>
      <c r="B60" s="23"/>
      <c r="C60" s="23"/>
      <c r="D60" s="23"/>
      <c r="E60" s="23"/>
      <c r="F60" s="23"/>
      <c r="G60" s="23"/>
      <c r="H60" s="23"/>
      <c r="I60" s="28"/>
      <c r="J60" s="28"/>
      <c r="K60" s="28"/>
      <c r="L60" s="28"/>
      <c r="M60" s="16"/>
      <c r="N60" s="16"/>
      <c r="O60" s="16"/>
      <c r="P60" s="14" t="str">
        <f aca="false">IF(COUNT(M60:O60)=3,M60*N60*O60,"")</f>
        <v/>
      </c>
      <c r="Q60" s="24" t="str">
        <f aca="false">IF(P60="","",IF(P60&gt;=48,"Tier 1",IF(P60&gt;=20,"Tier 2","Tier 3")))</f>
        <v/>
      </c>
      <c r="R60" s="23"/>
      <c r="S60" s="23"/>
      <c r="T60" s="23"/>
    </row>
    <row r="61" customFormat="false" ht="15" hidden="false" customHeight="false" outlineLevel="0" collapsed="false">
      <c r="A61" s="13" t="s">
        <v>687</v>
      </c>
      <c r="B61" s="23"/>
      <c r="C61" s="23"/>
      <c r="D61" s="23"/>
      <c r="E61" s="23"/>
      <c r="F61" s="23"/>
      <c r="G61" s="23"/>
      <c r="H61" s="23"/>
      <c r="I61" s="28"/>
      <c r="J61" s="28"/>
      <c r="K61" s="28"/>
      <c r="L61" s="28"/>
      <c r="M61" s="16"/>
      <c r="N61" s="16"/>
      <c r="O61" s="16"/>
      <c r="P61" s="14" t="str">
        <f aca="false">IF(COUNT(M61:O61)=3,M61*N61*O61,"")</f>
        <v/>
      </c>
      <c r="Q61" s="24" t="str">
        <f aca="false">IF(P61="","",IF(P61&gt;=48,"Tier 1",IF(P61&gt;=20,"Tier 2","Tier 3")))</f>
        <v/>
      </c>
      <c r="R61" s="23"/>
      <c r="S61" s="23"/>
      <c r="T61" s="23"/>
    </row>
    <row r="62" customFormat="false" ht="15" hidden="false" customHeight="false" outlineLevel="0" collapsed="false">
      <c r="A62" s="13" t="s">
        <v>688</v>
      </c>
      <c r="B62" s="23"/>
      <c r="C62" s="23"/>
      <c r="D62" s="23"/>
      <c r="E62" s="23"/>
      <c r="F62" s="23"/>
      <c r="G62" s="23"/>
      <c r="H62" s="23"/>
      <c r="I62" s="28"/>
      <c r="J62" s="28"/>
      <c r="K62" s="28"/>
      <c r="L62" s="28"/>
      <c r="M62" s="16"/>
      <c r="N62" s="16"/>
      <c r="O62" s="16"/>
      <c r="P62" s="14" t="str">
        <f aca="false">IF(COUNT(M62:O62)=3,M62*N62*O62,"")</f>
        <v/>
      </c>
      <c r="Q62" s="24" t="str">
        <f aca="false">IF(P62="","",IF(P62&gt;=48,"Tier 1",IF(P62&gt;=20,"Tier 2","Tier 3")))</f>
        <v/>
      </c>
      <c r="R62" s="23"/>
      <c r="S62" s="23"/>
      <c r="T62" s="23"/>
    </row>
    <row r="63" customFormat="false" ht="15" hidden="false" customHeight="false" outlineLevel="0" collapsed="false">
      <c r="A63" s="13" t="s">
        <v>689</v>
      </c>
      <c r="B63" s="23"/>
      <c r="C63" s="23"/>
      <c r="D63" s="23"/>
      <c r="E63" s="23"/>
      <c r="F63" s="23"/>
      <c r="G63" s="23"/>
      <c r="H63" s="23"/>
      <c r="I63" s="28"/>
      <c r="J63" s="28"/>
      <c r="K63" s="28"/>
      <c r="L63" s="28"/>
      <c r="M63" s="16"/>
      <c r="N63" s="16"/>
      <c r="O63" s="16"/>
      <c r="P63" s="14" t="str">
        <f aca="false">IF(COUNT(M63:O63)=3,M63*N63*O63,"")</f>
        <v/>
      </c>
      <c r="Q63" s="24" t="str">
        <f aca="false">IF(P63="","",IF(P63&gt;=48,"Tier 1",IF(P63&gt;=20,"Tier 2","Tier 3")))</f>
        <v/>
      </c>
      <c r="R63" s="23"/>
      <c r="S63" s="23"/>
      <c r="T63" s="23"/>
    </row>
    <row r="64" customFormat="false" ht="15" hidden="false" customHeight="false" outlineLevel="0" collapsed="false">
      <c r="A64" s="13" t="s">
        <v>690</v>
      </c>
      <c r="B64" s="23"/>
      <c r="C64" s="23"/>
      <c r="D64" s="23"/>
      <c r="E64" s="23"/>
      <c r="F64" s="23"/>
      <c r="G64" s="23"/>
      <c r="H64" s="23"/>
      <c r="I64" s="28"/>
      <c r="J64" s="28"/>
      <c r="K64" s="28"/>
      <c r="L64" s="28"/>
      <c r="M64" s="16"/>
      <c r="N64" s="16"/>
      <c r="O64" s="16"/>
      <c r="P64" s="14" t="str">
        <f aca="false">IF(COUNT(M64:O64)=3,M64*N64*O64,"")</f>
        <v/>
      </c>
      <c r="Q64" s="24" t="str">
        <f aca="false">IF(P64="","",IF(P64&gt;=48,"Tier 1",IF(P64&gt;=20,"Tier 2","Tier 3")))</f>
        <v/>
      </c>
      <c r="R64" s="23"/>
      <c r="S64" s="23"/>
      <c r="T64" s="23"/>
    </row>
    <row r="65" customFormat="false" ht="15" hidden="false" customHeight="false" outlineLevel="0" collapsed="false">
      <c r="A65" s="13" t="s">
        <v>691</v>
      </c>
      <c r="B65" s="23"/>
      <c r="C65" s="23"/>
      <c r="D65" s="23"/>
      <c r="E65" s="23"/>
      <c r="F65" s="23"/>
      <c r="G65" s="23"/>
      <c r="H65" s="23"/>
      <c r="I65" s="28"/>
      <c r="J65" s="28"/>
      <c r="K65" s="28"/>
      <c r="L65" s="28"/>
      <c r="M65" s="16"/>
      <c r="N65" s="16"/>
      <c r="O65" s="16"/>
      <c r="P65" s="14" t="str">
        <f aca="false">IF(COUNT(M65:O65)=3,M65*N65*O65,"")</f>
        <v/>
      </c>
      <c r="Q65" s="24" t="str">
        <f aca="false">IF(P65="","",IF(P65&gt;=48,"Tier 1",IF(P65&gt;=20,"Tier 2","Tier 3")))</f>
        <v/>
      </c>
      <c r="R65" s="23"/>
      <c r="S65" s="23"/>
      <c r="T65" s="23"/>
    </row>
    <row r="66" customFormat="false" ht="15" hidden="false" customHeight="false" outlineLevel="0" collapsed="false">
      <c r="A66" s="13" t="s">
        <v>692</v>
      </c>
      <c r="B66" s="23"/>
      <c r="C66" s="23"/>
      <c r="D66" s="23"/>
      <c r="E66" s="23"/>
      <c r="F66" s="23"/>
      <c r="G66" s="23"/>
      <c r="H66" s="23"/>
      <c r="I66" s="28"/>
      <c r="J66" s="28"/>
      <c r="K66" s="28"/>
      <c r="L66" s="28"/>
      <c r="M66" s="16"/>
      <c r="N66" s="16"/>
      <c r="O66" s="16"/>
      <c r="P66" s="14" t="str">
        <f aca="false">IF(COUNT(M66:O66)=3,M66*N66*O66,"")</f>
        <v/>
      </c>
      <c r="Q66" s="24" t="str">
        <f aca="false">IF(P66="","",IF(P66&gt;=48,"Tier 1",IF(P66&gt;=20,"Tier 2","Tier 3")))</f>
        <v/>
      </c>
      <c r="R66" s="23"/>
      <c r="S66" s="23"/>
      <c r="T66" s="23"/>
    </row>
    <row r="67" customFormat="false" ht="15" hidden="false" customHeight="false" outlineLevel="0" collapsed="false">
      <c r="A67" s="13" t="s">
        <v>693</v>
      </c>
      <c r="B67" s="23"/>
      <c r="C67" s="23"/>
      <c r="D67" s="23"/>
      <c r="E67" s="23"/>
      <c r="F67" s="23"/>
      <c r="G67" s="23"/>
      <c r="H67" s="23"/>
      <c r="I67" s="28"/>
      <c r="J67" s="28"/>
      <c r="K67" s="28"/>
      <c r="L67" s="28"/>
      <c r="M67" s="16"/>
      <c r="N67" s="16"/>
      <c r="O67" s="16"/>
      <c r="P67" s="14" t="str">
        <f aca="false">IF(COUNT(M67:O67)=3,M67*N67*O67,"")</f>
        <v/>
      </c>
      <c r="Q67" s="24" t="str">
        <f aca="false">IF(P67="","",IF(P67&gt;=48,"Tier 1",IF(P67&gt;=20,"Tier 2","Tier 3")))</f>
        <v/>
      </c>
      <c r="R67" s="23"/>
      <c r="S67" s="23"/>
      <c r="T67" s="23"/>
    </row>
    <row r="68" customFormat="false" ht="15" hidden="false" customHeight="false" outlineLevel="0" collapsed="false">
      <c r="A68" s="13" t="s">
        <v>694</v>
      </c>
      <c r="B68" s="23"/>
      <c r="C68" s="23"/>
      <c r="D68" s="23"/>
      <c r="E68" s="23"/>
      <c r="F68" s="23"/>
      <c r="G68" s="23"/>
      <c r="H68" s="23"/>
      <c r="I68" s="28"/>
      <c r="J68" s="28"/>
      <c r="K68" s="28"/>
      <c r="L68" s="28"/>
      <c r="M68" s="16"/>
      <c r="N68" s="16"/>
      <c r="O68" s="16"/>
      <c r="P68" s="14" t="str">
        <f aca="false">IF(COUNT(M68:O68)=3,M68*N68*O68,"")</f>
        <v/>
      </c>
      <c r="Q68" s="24" t="str">
        <f aca="false">IF(P68="","",IF(P68&gt;=48,"Tier 1",IF(P68&gt;=20,"Tier 2","Tier 3")))</f>
        <v/>
      </c>
      <c r="R68" s="23"/>
      <c r="S68" s="23"/>
      <c r="T68" s="23"/>
    </row>
    <row r="69" customFormat="false" ht="15" hidden="false" customHeight="false" outlineLevel="0" collapsed="false">
      <c r="A69" s="13" t="s">
        <v>695</v>
      </c>
      <c r="B69" s="23"/>
      <c r="C69" s="23"/>
      <c r="D69" s="23"/>
      <c r="E69" s="23"/>
      <c r="F69" s="23"/>
      <c r="G69" s="23"/>
      <c r="H69" s="23"/>
      <c r="I69" s="28"/>
      <c r="J69" s="28"/>
      <c r="K69" s="28"/>
      <c r="L69" s="28"/>
      <c r="M69" s="16"/>
      <c r="N69" s="16"/>
      <c r="O69" s="16"/>
      <c r="P69" s="14" t="str">
        <f aca="false">IF(COUNT(M69:O69)=3,M69*N69*O69,"")</f>
        <v/>
      </c>
      <c r="Q69" s="24" t="str">
        <f aca="false">IF(P69="","",IF(P69&gt;=48,"Tier 1",IF(P69&gt;=20,"Tier 2","Tier 3")))</f>
        <v/>
      </c>
      <c r="R69" s="23"/>
      <c r="S69" s="23"/>
      <c r="T69" s="23"/>
    </row>
    <row r="70" customFormat="false" ht="15" hidden="false" customHeight="false" outlineLevel="0" collapsed="false">
      <c r="A70" s="13" t="s">
        <v>696</v>
      </c>
      <c r="B70" s="23"/>
      <c r="C70" s="23"/>
      <c r="D70" s="23"/>
      <c r="E70" s="23"/>
      <c r="F70" s="23"/>
      <c r="G70" s="23"/>
      <c r="H70" s="23"/>
      <c r="I70" s="28"/>
      <c r="J70" s="28"/>
      <c r="K70" s="28"/>
      <c r="L70" s="28"/>
      <c r="M70" s="16"/>
      <c r="N70" s="16"/>
      <c r="O70" s="16"/>
      <c r="P70" s="14" t="str">
        <f aca="false">IF(COUNT(M70:O70)=3,M70*N70*O70,"")</f>
        <v/>
      </c>
      <c r="Q70" s="24" t="str">
        <f aca="false">IF(P70="","",IF(P70&gt;=48,"Tier 1",IF(P70&gt;=20,"Tier 2","Tier 3")))</f>
        <v/>
      </c>
      <c r="R70" s="23"/>
      <c r="S70" s="23"/>
      <c r="T70" s="23"/>
    </row>
    <row r="71" customFormat="false" ht="15" hidden="false" customHeight="false" outlineLevel="0" collapsed="false">
      <c r="A71" s="13" t="s">
        <v>697</v>
      </c>
      <c r="B71" s="23"/>
      <c r="C71" s="23"/>
      <c r="D71" s="23"/>
      <c r="E71" s="23"/>
      <c r="F71" s="23"/>
      <c r="G71" s="23"/>
      <c r="H71" s="23"/>
      <c r="I71" s="28"/>
      <c r="J71" s="28"/>
      <c r="K71" s="28"/>
      <c r="L71" s="28"/>
      <c r="M71" s="16"/>
      <c r="N71" s="16"/>
      <c r="O71" s="16"/>
      <c r="P71" s="14" t="str">
        <f aca="false">IF(COUNT(M71:O71)=3,M71*N71*O71,"")</f>
        <v/>
      </c>
      <c r="Q71" s="24" t="str">
        <f aca="false">IF(P71="","",IF(P71&gt;=48,"Tier 1",IF(P71&gt;=20,"Tier 2","Tier 3")))</f>
        <v/>
      </c>
      <c r="R71" s="23"/>
      <c r="S71" s="23"/>
      <c r="T71" s="23"/>
    </row>
    <row r="72" customFormat="false" ht="15" hidden="false" customHeight="false" outlineLevel="0" collapsed="false">
      <c r="A72" s="13" t="s">
        <v>698</v>
      </c>
      <c r="B72" s="23"/>
      <c r="C72" s="23"/>
      <c r="D72" s="23"/>
      <c r="E72" s="23"/>
      <c r="F72" s="23"/>
      <c r="G72" s="23"/>
      <c r="H72" s="23"/>
      <c r="I72" s="28"/>
      <c r="J72" s="28"/>
      <c r="K72" s="28"/>
      <c r="L72" s="28"/>
      <c r="M72" s="16"/>
      <c r="N72" s="16"/>
      <c r="O72" s="16"/>
      <c r="P72" s="14" t="str">
        <f aca="false">IF(COUNT(M72:O72)=3,M72*N72*O72,"")</f>
        <v/>
      </c>
      <c r="Q72" s="24" t="str">
        <f aca="false">IF(P72="","",IF(P72&gt;=48,"Tier 1",IF(P72&gt;=20,"Tier 2","Tier 3")))</f>
        <v/>
      </c>
      <c r="R72" s="23"/>
      <c r="S72" s="23"/>
      <c r="T72" s="23"/>
    </row>
    <row r="73" customFormat="false" ht="15" hidden="false" customHeight="false" outlineLevel="0" collapsed="false">
      <c r="A73" s="13" t="s">
        <v>699</v>
      </c>
      <c r="B73" s="23"/>
      <c r="C73" s="23"/>
      <c r="D73" s="23"/>
      <c r="E73" s="23"/>
      <c r="F73" s="23"/>
      <c r="G73" s="23"/>
      <c r="H73" s="23"/>
      <c r="I73" s="28"/>
      <c r="J73" s="28"/>
      <c r="K73" s="28"/>
      <c r="L73" s="28"/>
      <c r="M73" s="16"/>
      <c r="N73" s="16"/>
      <c r="O73" s="16"/>
      <c r="P73" s="14" t="str">
        <f aca="false">IF(COUNT(M73:O73)=3,M73*N73*O73,"")</f>
        <v/>
      </c>
      <c r="Q73" s="24" t="str">
        <f aca="false">IF(P73="","",IF(P73&gt;=48,"Tier 1",IF(P73&gt;=20,"Tier 2","Tier 3")))</f>
        <v/>
      </c>
      <c r="R73" s="23"/>
      <c r="S73" s="23"/>
      <c r="T73" s="23"/>
    </row>
    <row r="74" customFormat="false" ht="15" hidden="false" customHeight="false" outlineLevel="0" collapsed="false">
      <c r="A74" s="13" t="s">
        <v>700</v>
      </c>
      <c r="B74" s="23"/>
      <c r="C74" s="23"/>
      <c r="D74" s="23"/>
      <c r="E74" s="23"/>
      <c r="F74" s="23"/>
      <c r="G74" s="23"/>
      <c r="H74" s="23"/>
      <c r="I74" s="28"/>
      <c r="J74" s="28"/>
      <c r="K74" s="28"/>
      <c r="L74" s="28"/>
      <c r="M74" s="16"/>
      <c r="N74" s="16"/>
      <c r="O74" s="16"/>
      <c r="P74" s="14" t="str">
        <f aca="false">IF(COUNT(M74:O74)=3,M74*N74*O74,"")</f>
        <v/>
      </c>
      <c r="Q74" s="24" t="str">
        <f aca="false">IF(P74="","",IF(P74&gt;=48,"Tier 1",IF(P74&gt;=20,"Tier 2","Tier 3")))</f>
        <v/>
      </c>
      <c r="R74" s="23"/>
      <c r="S74" s="23"/>
      <c r="T74" s="23"/>
    </row>
    <row r="75" customFormat="false" ht="15" hidden="false" customHeight="false" outlineLevel="0" collapsed="false">
      <c r="A75" s="13" t="s">
        <v>701</v>
      </c>
      <c r="B75" s="23"/>
      <c r="C75" s="23"/>
      <c r="D75" s="23"/>
      <c r="E75" s="23"/>
      <c r="F75" s="23"/>
      <c r="G75" s="23"/>
      <c r="H75" s="23"/>
      <c r="I75" s="28"/>
      <c r="J75" s="28"/>
      <c r="K75" s="28"/>
      <c r="L75" s="28"/>
      <c r="M75" s="16"/>
      <c r="N75" s="16"/>
      <c r="O75" s="16"/>
      <c r="P75" s="14" t="str">
        <f aca="false">IF(COUNT(M75:O75)=3,M75*N75*O75,"")</f>
        <v/>
      </c>
      <c r="Q75" s="24" t="str">
        <f aca="false">IF(P75="","",IF(P75&gt;=48,"Tier 1",IF(P75&gt;=20,"Tier 2","Tier 3")))</f>
        <v/>
      </c>
      <c r="R75" s="23"/>
      <c r="S75" s="23"/>
      <c r="T75" s="23"/>
    </row>
    <row r="76" customFormat="false" ht="15" hidden="false" customHeight="false" outlineLevel="0" collapsed="false">
      <c r="A76" s="13" t="s">
        <v>702</v>
      </c>
      <c r="B76" s="23"/>
      <c r="C76" s="23"/>
      <c r="D76" s="23"/>
      <c r="E76" s="23"/>
      <c r="F76" s="23"/>
      <c r="G76" s="23"/>
      <c r="H76" s="23"/>
      <c r="I76" s="28"/>
      <c r="J76" s="28"/>
      <c r="K76" s="28"/>
      <c r="L76" s="28"/>
      <c r="M76" s="16"/>
      <c r="N76" s="16"/>
      <c r="O76" s="16"/>
      <c r="P76" s="14" t="str">
        <f aca="false">IF(COUNT(M76:O76)=3,M76*N76*O76,"")</f>
        <v/>
      </c>
      <c r="Q76" s="24" t="str">
        <f aca="false">IF(P76="","",IF(P76&gt;=48,"Tier 1",IF(P76&gt;=20,"Tier 2","Tier 3")))</f>
        <v/>
      </c>
      <c r="R76" s="23"/>
      <c r="S76" s="23"/>
      <c r="T76" s="23"/>
    </row>
    <row r="77" customFormat="false" ht="15" hidden="false" customHeight="false" outlineLevel="0" collapsed="false">
      <c r="A77" s="13" t="s">
        <v>703</v>
      </c>
      <c r="B77" s="23"/>
      <c r="C77" s="23"/>
      <c r="D77" s="23"/>
      <c r="E77" s="23"/>
      <c r="F77" s="23"/>
      <c r="G77" s="23"/>
      <c r="H77" s="23"/>
      <c r="I77" s="28"/>
      <c r="J77" s="28"/>
      <c r="K77" s="28"/>
      <c r="L77" s="28"/>
      <c r="M77" s="16"/>
      <c r="N77" s="16"/>
      <c r="O77" s="16"/>
      <c r="P77" s="14" t="str">
        <f aca="false">IF(COUNT(M77:O77)=3,M77*N77*O77,"")</f>
        <v/>
      </c>
      <c r="Q77" s="24" t="str">
        <f aca="false">IF(P77="","",IF(P77&gt;=48,"Tier 1",IF(P77&gt;=20,"Tier 2","Tier 3")))</f>
        <v/>
      </c>
      <c r="R77" s="23"/>
      <c r="S77" s="23"/>
      <c r="T77" s="23"/>
    </row>
    <row r="78" customFormat="false" ht="15" hidden="false" customHeight="false" outlineLevel="0" collapsed="false">
      <c r="A78" s="13" t="s">
        <v>704</v>
      </c>
      <c r="B78" s="23"/>
      <c r="C78" s="23"/>
      <c r="D78" s="23"/>
      <c r="E78" s="23"/>
      <c r="F78" s="23"/>
      <c r="G78" s="23"/>
      <c r="H78" s="23"/>
      <c r="I78" s="28"/>
      <c r="J78" s="28"/>
      <c r="K78" s="28"/>
      <c r="L78" s="28"/>
      <c r="M78" s="16"/>
      <c r="N78" s="16"/>
      <c r="O78" s="16"/>
      <c r="P78" s="14" t="str">
        <f aca="false">IF(COUNT(M78:O78)=3,M78*N78*O78,"")</f>
        <v/>
      </c>
      <c r="Q78" s="24" t="str">
        <f aca="false">IF(P78="","",IF(P78&gt;=48,"Tier 1",IF(P78&gt;=20,"Tier 2","Tier 3")))</f>
        <v/>
      </c>
      <c r="R78" s="23"/>
      <c r="S78" s="23"/>
      <c r="T78" s="23"/>
    </row>
    <row r="79" customFormat="false" ht="15" hidden="false" customHeight="false" outlineLevel="0" collapsed="false">
      <c r="A79" s="13" t="s">
        <v>705</v>
      </c>
      <c r="B79" s="23"/>
      <c r="C79" s="23"/>
      <c r="D79" s="23"/>
      <c r="E79" s="23"/>
      <c r="F79" s="23"/>
      <c r="G79" s="23"/>
      <c r="H79" s="23"/>
      <c r="I79" s="28"/>
      <c r="J79" s="28"/>
      <c r="K79" s="28"/>
      <c r="L79" s="28"/>
      <c r="M79" s="16"/>
      <c r="N79" s="16"/>
      <c r="O79" s="16"/>
      <c r="P79" s="14" t="str">
        <f aca="false">IF(COUNT(M79:O79)=3,M79*N79*O79,"")</f>
        <v/>
      </c>
      <c r="Q79" s="24" t="str">
        <f aca="false">IF(P79="","",IF(P79&gt;=48,"Tier 1",IF(P79&gt;=20,"Tier 2","Tier 3")))</f>
        <v/>
      </c>
      <c r="R79" s="23"/>
      <c r="S79" s="23"/>
      <c r="T79" s="23"/>
    </row>
    <row r="80" customFormat="false" ht="15" hidden="false" customHeight="false" outlineLevel="0" collapsed="false">
      <c r="A80" s="13" t="s">
        <v>706</v>
      </c>
      <c r="B80" s="23"/>
      <c r="C80" s="23"/>
      <c r="D80" s="23"/>
      <c r="E80" s="23"/>
      <c r="F80" s="23"/>
      <c r="G80" s="23"/>
      <c r="H80" s="23"/>
      <c r="I80" s="28"/>
      <c r="J80" s="28"/>
      <c r="K80" s="28"/>
      <c r="L80" s="28"/>
      <c r="M80" s="16"/>
      <c r="N80" s="16"/>
      <c r="O80" s="16"/>
      <c r="P80" s="14" t="str">
        <f aca="false">IF(COUNT(M80:O80)=3,M80*N80*O80,"")</f>
        <v/>
      </c>
      <c r="Q80" s="24" t="str">
        <f aca="false">IF(P80="","",IF(P80&gt;=48,"Tier 1",IF(P80&gt;=20,"Tier 2","Tier 3")))</f>
        <v/>
      </c>
      <c r="R80" s="23"/>
      <c r="S80" s="23"/>
      <c r="T80" s="23"/>
    </row>
    <row r="81" customFormat="false" ht="15" hidden="false" customHeight="false" outlineLevel="0" collapsed="false">
      <c r="A81" s="13" t="s">
        <v>707</v>
      </c>
      <c r="B81" s="23"/>
      <c r="C81" s="23"/>
      <c r="D81" s="23"/>
      <c r="E81" s="23"/>
      <c r="F81" s="23"/>
      <c r="G81" s="23"/>
      <c r="H81" s="23"/>
      <c r="I81" s="28"/>
      <c r="J81" s="28"/>
      <c r="K81" s="28"/>
      <c r="L81" s="28"/>
      <c r="M81" s="16"/>
      <c r="N81" s="16"/>
      <c r="O81" s="16"/>
      <c r="P81" s="14" t="str">
        <f aca="false">IF(COUNT(M81:O81)=3,M81*N81*O81,"")</f>
        <v/>
      </c>
      <c r="Q81" s="24" t="str">
        <f aca="false">IF(P81="","",IF(P81&gt;=48,"Tier 1",IF(P81&gt;=20,"Tier 2","Tier 3")))</f>
        <v/>
      </c>
      <c r="R81" s="23"/>
      <c r="S81" s="23"/>
      <c r="T81" s="23"/>
    </row>
    <row r="82" customFormat="false" ht="15" hidden="false" customHeight="false" outlineLevel="0" collapsed="false">
      <c r="A82" s="13" t="s">
        <v>708</v>
      </c>
      <c r="B82" s="23"/>
      <c r="C82" s="23"/>
      <c r="D82" s="23"/>
      <c r="E82" s="23"/>
      <c r="F82" s="23"/>
      <c r="G82" s="23"/>
      <c r="H82" s="23"/>
      <c r="I82" s="28"/>
      <c r="J82" s="28"/>
      <c r="K82" s="28"/>
      <c r="L82" s="28"/>
      <c r="M82" s="16"/>
      <c r="N82" s="16"/>
      <c r="O82" s="16"/>
      <c r="P82" s="14" t="str">
        <f aca="false">IF(COUNT(M82:O82)=3,M82*N82*O82,"")</f>
        <v/>
      </c>
      <c r="Q82" s="24" t="str">
        <f aca="false">IF(P82="","",IF(P82&gt;=48,"Tier 1",IF(P82&gt;=20,"Tier 2","Tier 3")))</f>
        <v/>
      </c>
      <c r="R82" s="23"/>
      <c r="S82" s="23"/>
      <c r="T82" s="23"/>
    </row>
    <row r="83" customFormat="false" ht="15" hidden="false" customHeight="false" outlineLevel="0" collapsed="false">
      <c r="A83" s="13" t="s">
        <v>709</v>
      </c>
      <c r="B83" s="23"/>
      <c r="C83" s="23"/>
      <c r="D83" s="23"/>
      <c r="E83" s="23"/>
      <c r="F83" s="23"/>
      <c r="G83" s="23"/>
      <c r="H83" s="23"/>
      <c r="I83" s="28"/>
      <c r="J83" s="28"/>
      <c r="K83" s="28"/>
      <c r="L83" s="28"/>
      <c r="M83" s="16"/>
      <c r="N83" s="16"/>
      <c r="O83" s="16"/>
      <c r="P83" s="14" t="str">
        <f aca="false">IF(COUNT(M83:O83)=3,M83*N83*O83,"")</f>
        <v/>
      </c>
      <c r="Q83" s="24" t="str">
        <f aca="false">IF(P83="","",IF(P83&gt;=48,"Tier 1",IF(P83&gt;=20,"Tier 2","Tier 3")))</f>
        <v/>
      </c>
      <c r="R83" s="23"/>
      <c r="S83" s="23"/>
      <c r="T83" s="23"/>
    </row>
    <row r="84" customFormat="false" ht="15" hidden="false" customHeight="false" outlineLevel="0" collapsed="false">
      <c r="A84" s="13" t="s">
        <v>710</v>
      </c>
      <c r="B84" s="23"/>
      <c r="C84" s="23"/>
      <c r="D84" s="23"/>
      <c r="E84" s="23"/>
      <c r="F84" s="23"/>
      <c r="G84" s="23"/>
      <c r="H84" s="23"/>
      <c r="I84" s="28"/>
      <c r="J84" s="28"/>
      <c r="K84" s="28"/>
      <c r="L84" s="28"/>
      <c r="M84" s="16"/>
      <c r="N84" s="16"/>
      <c r="O84" s="16"/>
      <c r="P84" s="14" t="str">
        <f aca="false">IF(COUNT(M84:O84)=3,M84*N84*O84,"")</f>
        <v/>
      </c>
      <c r="Q84" s="24" t="str">
        <f aca="false">IF(P84="","",IF(P84&gt;=48,"Tier 1",IF(P84&gt;=20,"Tier 2","Tier 3")))</f>
        <v/>
      </c>
      <c r="R84" s="23"/>
      <c r="S84" s="23"/>
      <c r="T84" s="23"/>
    </row>
    <row r="85" customFormat="false" ht="15" hidden="false" customHeight="false" outlineLevel="0" collapsed="false">
      <c r="A85" s="13" t="s">
        <v>711</v>
      </c>
      <c r="B85" s="23"/>
      <c r="C85" s="23"/>
      <c r="D85" s="23"/>
      <c r="E85" s="23"/>
      <c r="F85" s="23"/>
      <c r="G85" s="23"/>
      <c r="H85" s="23"/>
      <c r="I85" s="28"/>
      <c r="J85" s="28"/>
      <c r="K85" s="28"/>
      <c r="L85" s="28"/>
      <c r="M85" s="16"/>
      <c r="N85" s="16"/>
      <c r="O85" s="16"/>
      <c r="P85" s="14" t="str">
        <f aca="false">IF(COUNT(M85:O85)=3,M85*N85*O85,"")</f>
        <v/>
      </c>
      <c r="Q85" s="24" t="str">
        <f aca="false">IF(P85="","",IF(P85&gt;=48,"Tier 1",IF(P85&gt;=20,"Tier 2","Tier 3")))</f>
        <v/>
      </c>
      <c r="R85" s="23"/>
      <c r="S85" s="23"/>
      <c r="T85" s="23"/>
    </row>
    <row r="86" customFormat="false" ht="15" hidden="false" customHeight="false" outlineLevel="0" collapsed="false">
      <c r="A86" s="13" t="s">
        <v>712</v>
      </c>
      <c r="B86" s="23"/>
      <c r="C86" s="23"/>
      <c r="D86" s="23"/>
      <c r="E86" s="23"/>
      <c r="F86" s="23"/>
      <c r="G86" s="23"/>
      <c r="H86" s="23"/>
      <c r="I86" s="28"/>
      <c r="J86" s="28"/>
      <c r="K86" s="28"/>
      <c r="L86" s="28"/>
      <c r="M86" s="16"/>
      <c r="N86" s="16"/>
      <c r="O86" s="16"/>
      <c r="P86" s="14" t="str">
        <f aca="false">IF(COUNT(M86:O86)=3,M86*N86*O86,"")</f>
        <v/>
      </c>
      <c r="Q86" s="24" t="str">
        <f aca="false">IF(P86="","",IF(P86&gt;=48,"Tier 1",IF(P86&gt;=20,"Tier 2","Tier 3")))</f>
        <v/>
      </c>
      <c r="R86" s="23"/>
      <c r="S86" s="23"/>
      <c r="T86" s="23"/>
    </row>
    <row r="87" customFormat="false" ht="15" hidden="false" customHeight="false" outlineLevel="0" collapsed="false">
      <c r="A87" s="13" t="s">
        <v>713</v>
      </c>
      <c r="B87" s="23"/>
      <c r="C87" s="23"/>
      <c r="D87" s="23"/>
      <c r="E87" s="23"/>
      <c r="F87" s="23"/>
      <c r="G87" s="23"/>
      <c r="H87" s="23"/>
      <c r="I87" s="28"/>
      <c r="J87" s="28"/>
      <c r="K87" s="28"/>
      <c r="L87" s="28"/>
      <c r="M87" s="16"/>
      <c r="N87" s="16"/>
      <c r="O87" s="16"/>
      <c r="P87" s="14" t="str">
        <f aca="false">IF(COUNT(M87:O87)=3,M87*N87*O87,"")</f>
        <v/>
      </c>
      <c r="Q87" s="24" t="str">
        <f aca="false">IF(P87="","",IF(P87&gt;=48,"Tier 1",IF(P87&gt;=20,"Tier 2","Tier 3")))</f>
        <v/>
      </c>
      <c r="R87" s="23"/>
      <c r="S87" s="23"/>
      <c r="T87" s="23"/>
    </row>
    <row r="88" customFormat="false" ht="15" hidden="false" customHeight="false" outlineLevel="0" collapsed="false">
      <c r="A88" s="13" t="s">
        <v>714</v>
      </c>
      <c r="B88" s="23"/>
      <c r="C88" s="23"/>
      <c r="D88" s="23"/>
      <c r="E88" s="23"/>
      <c r="F88" s="23"/>
      <c r="G88" s="23"/>
      <c r="H88" s="23"/>
      <c r="I88" s="28"/>
      <c r="J88" s="28"/>
      <c r="K88" s="28"/>
      <c r="L88" s="28"/>
      <c r="M88" s="16"/>
      <c r="N88" s="16"/>
      <c r="O88" s="16"/>
      <c r="P88" s="14" t="str">
        <f aca="false">IF(COUNT(M88:O88)=3,M88*N88*O88,"")</f>
        <v/>
      </c>
      <c r="Q88" s="24" t="str">
        <f aca="false">IF(P88="","",IF(P88&gt;=48,"Tier 1",IF(P88&gt;=20,"Tier 2","Tier 3")))</f>
        <v/>
      </c>
      <c r="R88" s="23"/>
      <c r="S88" s="23"/>
      <c r="T88" s="23"/>
    </row>
    <row r="89" customFormat="false" ht="15" hidden="false" customHeight="false" outlineLevel="0" collapsed="false">
      <c r="A89" s="13" t="s">
        <v>715</v>
      </c>
      <c r="B89" s="23"/>
      <c r="C89" s="23"/>
      <c r="D89" s="23"/>
      <c r="E89" s="23"/>
      <c r="F89" s="23"/>
      <c r="G89" s="23"/>
      <c r="H89" s="23"/>
      <c r="I89" s="28"/>
      <c r="J89" s="28"/>
      <c r="K89" s="28"/>
      <c r="L89" s="28"/>
      <c r="M89" s="16"/>
      <c r="N89" s="16"/>
      <c r="O89" s="16"/>
      <c r="P89" s="14" t="str">
        <f aca="false">IF(COUNT(M89:O89)=3,M89*N89*O89,"")</f>
        <v/>
      </c>
      <c r="Q89" s="24" t="str">
        <f aca="false">IF(P89="","",IF(P89&gt;=48,"Tier 1",IF(P89&gt;=20,"Tier 2","Tier 3")))</f>
        <v/>
      </c>
      <c r="R89" s="23"/>
      <c r="S89" s="23"/>
      <c r="T89" s="23"/>
    </row>
    <row r="90" customFormat="false" ht="15" hidden="false" customHeight="false" outlineLevel="0" collapsed="false">
      <c r="A90" s="13" t="s">
        <v>716</v>
      </c>
      <c r="B90" s="23"/>
      <c r="C90" s="23"/>
      <c r="D90" s="23"/>
      <c r="E90" s="23"/>
      <c r="F90" s="23"/>
      <c r="G90" s="23"/>
      <c r="H90" s="23"/>
      <c r="I90" s="28"/>
      <c r="J90" s="28"/>
      <c r="K90" s="28"/>
      <c r="L90" s="28"/>
      <c r="M90" s="16"/>
      <c r="N90" s="16"/>
      <c r="O90" s="16"/>
      <c r="P90" s="14" t="str">
        <f aca="false">IF(COUNT(M90:O90)=3,M90*N90*O90,"")</f>
        <v/>
      </c>
      <c r="Q90" s="24" t="str">
        <f aca="false">IF(P90="","",IF(P90&gt;=48,"Tier 1",IF(P90&gt;=20,"Tier 2","Tier 3")))</f>
        <v/>
      </c>
      <c r="R90" s="23"/>
      <c r="S90" s="23"/>
      <c r="T90" s="23"/>
    </row>
    <row r="91" customFormat="false" ht="15" hidden="false" customHeight="false" outlineLevel="0" collapsed="false">
      <c r="A91" s="13" t="s">
        <v>717</v>
      </c>
      <c r="B91" s="23"/>
      <c r="C91" s="23"/>
      <c r="D91" s="23"/>
      <c r="E91" s="23"/>
      <c r="F91" s="23"/>
      <c r="G91" s="23"/>
      <c r="H91" s="23"/>
      <c r="I91" s="28"/>
      <c r="J91" s="28"/>
      <c r="K91" s="28"/>
      <c r="L91" s="28"/>
      <c r="M91" s="16"/>
      <c r="N91" s="16"/>
      <c r="O91" s="16"/>
      <c r="P91" s="14" t="str">
        <f aca="false">IF(COUNT(M91:O91)=3,M91*N91*O91,"")</f>
        <v/>
      </c>
      <c r="Q91" s="24" t="str">
        <f aca="false">IF(P91="","",IF(P91&gt;=48,"Tier 1",IF(P91&gt;=20,"Tier 2","Tier 3")))</f>
        <v/>
      </c>
      <c r="R91" s="23"/>
      <c r="S91" s="23"/>
      <c r="T91" s="23"/>
    </row>
    <row r="92" customFormat="false" ht="15" hidden="false" customHeight="false" outlineLevel="0" collapsed="false">
      <c r="A92" s="13" t="s">
        <v>718</v>
      </c>
      <c r="B92" s="23"/>
      <c r="C92" s="23"/>
      <c r="D92" s="23"/>
      <c r="E92" s="23"/>
      <c r="F92" s="23"/>
      <c r="G92" s="23"/>
      <c r="H92" s="23"/>
      <c r="I92" s="28"/>
      <c r="J92" s="28"/>
      <c r="K92" s="28"/>
      <c r="L92" s="28"/>
      <c r="M92" s="16"/>
      <c r="N92" s="16"/>
      <c r="O92" s="16"/>
      <c r="P92" s="14" t="str">
        <f aca="false">IF(COUNT(M92:O92)=3,M92*N92*O92,"")</f>
        <v/>
      </c>
      <c r="Q92" s="24" t="str">
        <f aca="false">IF(P92="","",IF(P92&gt;=48,"Tier 1",IF(P92&gt;=20,"Tier 2","Tier 3")))</f>
        <v/>
      </c>
      <c r="R92" s="23"/>
      <c r="S92" s="23"/>
      <c r="T92" s="23"/>
    </row>
    <row r="93" customFormat="false" ht="15" hidden="false" customHeight="false" outlineLevel="0" collapsed="false">
      <c r="A93" s="13" t="s">
        <v>719</v>
      </c>
      <c r="B93" s="23"/>
      <c r="C93" s="23"/>
      <c r="D93" s="23"/>
      <c r="E93" s="23"/>
      <c r="F93" s="23"/>
      <c r="G93" s="23"/>
      <c r="H93" s="23"/>
      <c r="I93" s="28"/>
      <c r="J93" s="28"/>
      <c r="K93" s="28"/>
      <c r="L93" s="28"/>
      <c r="M93" s="16"/>
      <c r="N93" s="16"/>
      <c r="O93" s="16"/>
      <c r="P93" s="14" t="str">
        <f aca="false">IF(COUNT(M93:O93)=3,M93*N93*O93,"")</f>
        <v/>
      </c>
      <c r="Q93" s="24" t="str">
        <f aca="false">IF(P93="","",IF(P93&gt;=48,"Tier 1",IF(P93&gt;=20,"Tier 2","Tier 3")))</f>
        <v/>
      </c>
      <c r="R93" s="23"/>
      <c r="S93" s="23"/>
      <c r="T93" s="23"/>
    </row>
    <row r="94" customFormat="false" ht="15" hidden="false" customHeight="false" outlineLevel="0" collapsed="false">
      <c r="A94" s="13" t="s">
        <v>720</v>
      </c>
      <c r="B94" s="23"/>
      <c r="C94" s="23"/>
      <c r="D94" s="23"/>
      <c r="E94" s="23"/>
      <c r="F94" s="23"/>
      <c r="G94" s="23"/>
      <c r="H94" s="23"/>
      <c r="I94" s="28"/>
      <c r="J94" s="28"/>
      <c r="K94" s="28"/>
      <c r="L94" s="28"/>
      <c r="M94" s="16"/>
      <c r="N94" s="16"/>
      <c r="O94" s="16"/>
      <c r="P94" s="14" t="str">
        <f aca="false">IF(COUNT(M94:O94)=3,M94*N94*O94,"")</f>
        <v/>
      </c>
      <c r="Q94" s="24" t="str">
        <f aca="false">IF(P94="","",IF(P94&gt;=48,"Tier 1",IF(P94&gt;=20,"Tier 2","Tier 3")))</f>
        <v/>
      </c>
      <c r="R94" s="23"/>
      <c r="S94" s="23"/>
      <c r="T94" s="23"/>
    </row>
    <row r="95" customFormat="false" ht="15" hidden="false" customHeight="false" outlineLevel="0" collapsed="false">
      <c r="A95" s="13" t="s">
        <v>721</v>
      </c>
      <c r="B95" s="23"/>
      <c r="C95" s="23"/>
      <c r="D95" s="23"/>
      <c r="E95" s="23"/>
      <c r="F95" s="23"/>
      <c r="G95" s="23"/>
      <c r="H95" s="23"/>
      <c r="I95" s="28"/>
      <c r="J95" s="28"/>
      <c r="K95" s="28"/>
      <c r="L95" s="28"/>
      <c r="M95" s="16"/>
      <c r="N95" s="16"/>
      <c r="O95" s="16"/>
      <c r="P95" s="14" t="str">
        <f aca="false">IF(COUNT(M95:O95)=3,M95*N95*O95,"")</f>
        <v/>
      </c>
      <c r="Q95" s="24" t="str">
        <f aca="false">IF(P95="","",IF(P95&gt;=48,"Tier 1",IF(P95&gt;=20,"Tier 2","Tier 3")))</f>
        <v/>
      </c>
      <c r="R95" s="23"/>
      <c r="S95" s="23"/>
      <c r="T95" s="23"/>
    </row>
    <row r="96" customFormat="false" ht="15" hidden="false" customHeight="false" outlineLevel="0" collapsed="false">
      <c r="A96" s="13" t="s">
        <v>722</v>
      </c>
      <c r="B96" s="23"/>
      <c r="C96" s="23"/>
      <c r="D96" s="23"/>
      <c r="E96" s="23"/>
      <c r="F96" s="23"/>
      <c r="G96" s="23"/>
      <c r="H96" s="23"/>
      <c r="I96" s="28"/>
      <c r="J96" s="28"/>
      <c r="K96" s="28"/>
      <c r="L96" s="28"/>
      <c r="M96" s="16"/>
      <c r="N96" s="16"/>
      <c r="O96" s="16"/>
      <c r="P96" s="14" t="str">
        <f aca="false">IF(COUNT(M96:O96)=3,M96*N96*O96,"")</f>
        <v/>
      </c>
      <c r="Q96" s="24" t="str">
        <f aca="false">IF(P96="","",IF(P96&gt;=48,"Tier 1",IF(P96&gt;=20,"Tier 2","Tier 3")))</f>
        <v/>
      </c>
      <c r="R96" s="23"/>
      <c r="S96" s="23"/>
      <c r="T96" s="23"/>
    </row>
    <row r="97" customFormat="false" ht="15" hidden="false" customHeight="false" outlineLevel="0" collapsed="false">
      <c r="A97" s="13" t="s">
        <v>723</v>
      </c>
      <c r="B97" s="23"/>
      <c r="C97" s="23"/>
      <c r="D97" s="23"/>
      <c r="E97" s="23"/>
      <c r="F97" s="23"/>
      <c r="G97" s="23"/>
      <c r="H97" s="23"/>
      <c r="I97" s="28"/>
      <c r="J97" s="28"/>
      <c r="K97" s="28"/>
      <c r="L97" s="28"/>
      <c r="M97" s="16"/>
      <c r="N97" s="16"/>
      <c r="O97" s="16"/>
      <c r="P97" s="14" t="str">
        <f aca="false">IF(COUNT(M97:O97)=3,M97*N97*O97,"")</f>
        <v/>
      </c>
      <c r="Q97" s="24" t="str">
        <f aca="false">IF(P97="","",IF(P97&gt;=48,"Tier 1",IF(P97&gt;=20,"Tier 2","Tier 3")))</f>
        <v/>
      </c>
      <c r="R97" s="23"/>
      <c r="S97" s="23"/>
      <c r="T97" s="23"/>
    </row>
    <row r="98" customFormat="false" ht="15" hidden="false" customHeight="false" outlineLevel="0" collapsed="false">
      <c r="A98" s="13" t="s">
        <v>724</v>
      </c>
      <c r="B98" s="23"/>
      <c r="C98" s="23"/>
      <c r="D98" s="23"/>
      <c r="E98" s="23"/>
      <c r="F98" s="23"/>
      <c r="G98" s="23"/>
      <c r="H98" s="23"/>
      <c r="I98" s="28"/>
      <c r="J98" s="28"/>
      <c r="K98" s="28"/>
      <c r="L98" s="28"/>
      <c r="M98" s="16"/>
      <c r="N98" s="16"/>
      <c r="O98" s="16"/>
      <c r="P98" s="14" t="str">
        <f aca="false">IF(COUNT(M98:O98)=3,M98*N98*O98,"")</f>
        <v/>
      </c>
      <c r="Q98" s="24" t="str">
        <f aca="false">IF(P98="","",IF(P98&gt;=48,"Tier 1",IF(P98&gt;=20,"Tier 2","Tier 3")))</f>
        <v/>
      </c>
      <c r="R98" s="23"/>
      <c r="S98" s="23"/>
      <c r="T98" s="23"/>
    </row>
    <row r="99" customFormat="false" ht="15" hidden="false" customHeight="false" outlineLevel="0" collapsed="false">
      <c r="A99" s="13" t="s">
        <v>725</v>
      </c>
      <c r="B99" s="23"/>
      <c r="C99" s="23"/>
      <c r="D99" s="23"/>
      <c r="E99" s="23"/>
      <c r="F99" s="23"/>
      <c r="G99" s="23"/>
      <c r="H99" s="23"/>
      <c r="I99" s="28"/>
      <c r="J99" s="28"/>
      <c r="K99" s="28"/>
      <c r="L99" s="28"/>
      <c r="M99" s="16"/>
      <c r="N99" s="16"/>
      <c r="O99" s="16"/>
      <c r="P99" s="14" t="str">
        <f aca="false">IF(COUNT(M99:O99)=3,M99*N99*O99,"")</f>
        <v/>
      </c>
      <c r="Q99" s="24" t="str">
        <f aca="false">IF(P99="","",IF(P99&gt;=48,"Tier 1",IF(P99&gt;=20,"Tier 2","Tier 3")))</f>
        <v/>
      </c>
      <c r="R99" s="23"/>
      <c r="S99" s="23"/>
      <c r="T99" s="23"/>
    </row>
    <row r="100" customFormat="false" ht="15" hidden="false" customHeight="false" outlineLevel="0" collapsed="false">
      <c r="A100" s="13" t="s">
        <v>726</v>
      </c>
      <c r="B100" s="23"/>
      <c r="C100" s="23"/>
      <c r="D100" s="23"/>
      <c r="E100" s="23"/>
      <c r="F100" s="23"/>
      <c r="G100" s="23"/>
      <c r="H100" s="23"/>
      <c r="I100" s="28"/>
      <c r="J100" s="28"/>
      <c r="K100" s="28"/>
      <c r="L100" s="28"/>
      <c r="M100" s="16"/>
      <c r="N100" s="16"/>
      <c r="O100" s="16"/>
      <c r="P100" s="14" t="str">
        <f aca="false">IF(COUNT(M100:O100)=3,M100*N100*O100,"")</f>
        <v/>
      </c>
      <c r="Q100" s="24" t="str">
        <f aca="false">IF(P100="","",IF(P100&gt;=48,"Tier 1",IF(P100&gt;=20,"Tier 2","Tier 3")))</f>
        <v/>
      </c>
      <c r="R100" s="23"/>
      <c r="S100" s="23"/>
      <c r="T100" s="23"/>
    </row>
    <row r="101" customFormat="false" ht="15" hidden="false" customHeight="false" outlineLevel="0" collapsed="false">
      <c r="A101" s="13" t="s">
        <v>727</v>
      </c>
      <c r="B101" s="23"/>
      <c r="C101" s="23"/>
      <c r="D101" s="23"/>
      <c r="E101" s="23"/>
      <c r="F101" s="23"/>
      <c r="G101" s="23"/>
      <c r="H101" s="23"/>
      <c r="I101" s="28"/>
      <c r="J101" s="28"/>
      <c r="K101" s="28"/>
      <c r="L101" s="28"/>
      <c r="M101" s="16"/>
      <c r="N101" s="16"/>
      <c r="O101" s="16"/>
      <c r="P101" s="14" t="str">
        <f aca="false">IF(COUNT(M101:O101)=3,M101*N101*O101,"")</f>
        <v/>
      </c>
      <c r="Q101" s="24" t="str">
        <f aca="false">IF(P101="","",IF(P101&gt;=48,"Tier 1",IF(P101&gt;=20,"Tier 2","Tier 3")))</f>
        <v/>
      </c>
      <c r="R101" s="23"/>
      <c r="S101" s="23"/>
      <c r="T101" s="23"/>
    </row>
    <row r="102" customFormat="false" ht="15" hidden="false" customHeight="false" outlineLevel="0" collapsed="false">
      <c r="A102" s="13" t="s">
        <v>728</v>
      </c>
      <c r="B102" s="23"/>
      <c r="C102" s="23"/>
      <c r="D102" s="23"/>
      <c r="E102" s="23"/>
      <c r="F102" s="23"/>
      <c r="G102" s="23"/>
      <c r="H102" s="23"/>
      <c r="I102" s="28"/>
      <c r="J102" s="28"/>
      <c r="K102" s="28"/>
      <c r="L102" s="28"/>
      <c r="M102" s="16"/>
      <c r="N102" s="16"/>
      <c r="O102" s="16"/>
      <c r="P102" s="14" t="str">
        <f aca="false">IF(COUNT(M102:O102)=3,M102*N102*O102,"")</f>
        <v/>
      </c>
      <c r="Q102" s="24" t="str">
        <f aca="false">IF(P102="","",IF(P102&gt;=48,"Tier 1",IF(P102&gt;=20,"Tier 2","Tier 3")))</f>
        <v/>
      </c>
      <c r="R102" s="23"/>
      <c r="S102" s="23"/>
      <c r="T102" s="23"/>
    </row>
    <row r="103" customFormat="false" ht="15" hidden="false" customHeight="false" outlineLevel="0" collapsed="false">
      <c r="A103" s="13" t="s">
        <v>729</v>
      </c>
      <c r="B103" s="23"/>
      <c r="C103" s="23"/>
      <c r="D103" s="23"/>
      <c r="E103" s="23"/>
      <c r="F103" s="23"/>
      <c r="G103" s="23"/>
      <c r="H103" s="23"/>
      <c r="I103" s="28"/>
      <c r="J103" s="28"/>
      <c r="K103" s="28"/>
      <c r="L103" s="28"/>
      <c r="M103" s="16"/>
      <c r="N103" s="16"/>
      <c r="O103" s="16"/>
      <c r="P103" s="14" t="str">
        <f aca="false">IF(COUNT(M103:O103)=3,M103*N103*O103,"")</f>
        <v/>
      </c>
      <c r="Q103" s="24" t="str">
        <f aca="false">IF(P103="","",IF(P103&gt;=48,"Tier 1",IF(P103&gt;=20,"Tier 2","Tier 3")))</f>
        <v/>
      </c>
      <c r="R103" s="23"/>
      <c r="S103" s="23"/>
      <c r="T103" s="23"/>
    </row>
    <row r="104" customFormat="false" ht="15" hidden="false" customHeight="false" outlineLevel="0" collapsed="false">
      <c r="A104" s="13" t="s">
        <v>730</v>
      </c>
      <c r="B104" s="23"/>
      <c r="C104" s="23"/>
      <c r="D104" s="23"/>
      <c r="E104" s="23"/>
      <c r="F104" s="23"/>
      <c r="G104" s="23"/>
      <c r="H104" s="23"/>
      <c r="I104" s="28"/>
      <c r="J104" s="28"/>
      <c r="K104" s="28"/>
      <c r="L104" s="28"/>
      <c r="M104" s="16"/>
      <c r="N104" s="16"/>
      <c r="O104" s="16"/>
      <c r="P104" s="14" t="str">
        <f aca="false">IF(COUNT(M104:O104)=3,M104*N104*O104,"")</f>
        <v/>
      </c>
      <c r="Q104" s="24" t="str">
        <f aca="false">IF(P104="","",IF(P104&gt;=48,"Tier 1",IF(P104&gt;=20,"Tier 2","Tier 3")))</f>
        <v/>
      </c>
      <c r="R104" s="23"/>
      <c r="S104" s="23"/>
      <c r="T104" s="23"/>
    </row>
    <row r="105" customFormat="false" ht="15" hidden="false" customHeight="false" outlineLevel="0" collapsed="false">
      <c r="A105" s="13" t="s">
        <v>731</v>
      </c>
      <c r="B105" s="23"/>
      <c r="C105" s="23"/>
      <c r="D105" s="23"/>
      <c r="E105" s="23"/>
      <c r="F105" s="23"/>
      <c r="G105" s="23"/>
      <c r="H105" s="23"/>
      <c r="I105" s="28"/>
      <c r="J105" s="28"/>
      <c r="K105" s="28"/>
      <c r="L105" s="28"/>
      <c r="M105" s="16"/>
      <c r="N105" s="16"/>
      <c r="O105" s="16"/>
      <c r="P105" s="14" t="str">
        <f aca="false">IF(COUNT(M105:O105)=3,M105*N105*O105,"")</f>
        <v/>
      </c>
      <c r="Q105" s="24" t="str">
        <f aca="false">IF(P105="","",IF(P105&gt;=48,"Tier 1",IF(P105&gt;=20,"Tier 2","Tier 3")))</f>
        <v/>
      </c>
      <c r="R105" s="23"/>
      <c r="S105" s="23"/>
      <c r="T105" s="23"/>
    </row>
    <row r="106" customFormat="false" ht="15" hidden="false" customHeight="false" outlineLevel="0" collapsed="false">
      <c r="A106" s="13" t="s">
        <v>732</v>
      </c>
      <c r="B106" s="23"/>
      <c r="C106" s="23"/>
      <c r="D106" s="23"/>
      <c r="E106" s="23"/>
      <c r="F106" s="23"/>
      <c r="G106" s="23"/>
      <c r="H106" s="23"/>
      <c r="I106" s="28"/>
      <c r="J106" s="28"/>
      <c r="K106" s="28"/>
      <c r="L106" s="28"/>
      <c r="M106" s="16"/>
      <c r="N106" s="16"/>
      <c r="O106" s="16"/>
      <c r="P106" s="14" t="str">
        <f aca="false">IF(COUNT(M106:O106)=3,M106*N106*O106,"")</f>
        <v/>
      </c>
      <c r="Q106" s="24" t="str">
        <f aca="false">IF(P106="","",IF(P106&gt;=48,"Tier 1",IF(P106&gt;=20,"Tier 2","Tier 3")))</f>
        <v/>
      </c>
      <c r="R106" s="23"/>
      <c r="S106" s="23"/>
      <c r="T106" s="23"/>
    </row>
    <row r="107" customFormat="false" ht="15" hidden="false" customHeight="false" outlineLevel="0" collapsed="false">
      <c r="A107" s="13" t="s">
        <v>733</v>
      </c>
      <c r="B107" s="23"/>
      <c r="C107" s="23"/>
      <c r="D107" s="23"/>
      <c r="E107" s="23"/>
      <c r="F107" s="23"/>
      <c r="G107" s="23"/>
      <c r="H107" s="23"/>
      <c r="I107" s="28"/>
      <c r="J107" s="28"/>
      <c r="K107" s="28"/>
      <c r="L107" s="28"/>
      <c r="M107" s="16"/>
      <c r="N107" s="16"/>
      <c r="O107" s="16"/>
      <c r="P107" s="14" t="str">
        <f aca="false">IF(COUNT(M107:O107)=3,M107*N107*O107,"")</f>
        <v/>
      </c>
      <c r="Q107" s="24" t="str">
        <f aca="false">IF(P107="","",IF(P107&gt;=48,"Tier 1",IF(P107&gt;=20,"Tier 2","Tier 3")))</f>
        <v/>
      </c>
      <c r="R107" s="23"/>
      <c r="S107" s="23"/>
      <c r="T107" s="23"/>
    </row>
    <row r="108" customFormat="false" ht="15" hidden="false" customHeight="false" outlineLevel="0" collapsed="false">
      <c r="A108" s="13" t="s">
        <v>734</v>
      </c>
      <c r="B108" s="23"/>
      <c r="C108" s="23"/>
      <c r="D108" s="23"/>
      <c r="E108" s="23"/>
      <c r="F108" s="23"/>
      <c r="G108" s="23"/>
      <c r="H108" s="23"/>
      <c r="I108" s="28"/>
      <c r="J108" s="28"/>
      <c r="K108" s="28"/>
      <c r="L108" s="28"/>
      <c r="M108" s="16"/>
      <c r="N108" s="16"/>
      <c r="O108" s="16"/>
      <c r="P108" s="14" t="str">
        <f aca="false">IF(COUNT(M108:O108)=3,M108*N108*O108,"")</f>
        <v/>
      </c>
      <c r="Q108" s="24" t="str">
        <f aca="false">IF(P108="","",IF(P108&gt;=48,"Tier 1",IF(P108&gt;=20,"Tier 2","Tier 3")))</f>
        <v/>
      </c>
      <c r="R108" s="23"/>
      <c r="S108" s="23"/>
      <c r="T108" s="23"/>
    </row>
    <row r="109" customFormat="false" ht="15" hidden="false" customHeight="false" outlineLevel="0" collapsed="false">
      <c r="A109" s="13" t="s">
        <v>735</v>
      </c>
      <c r="B109" s="23"/>
      <c r="C109" s="23"/>
      <c r="D109" s="23"/>
      <c r="E109" s="23"/>
      <c r="F109" s="23"/>
      <c r="G109" s="23"/>
      <c r="H109" s="23"/>
      <c r="I109" s="28"/>
      <c r="J109" s="28"/>
      <c r="K109" s="28"/>
      <c r="L109" s="28"/>
      <c r="M109" s="16"/>
      <c r="N109" s="16"/>
      <c r="O109" s="16"/>
      <c r="P109" s="14" t="str">
        <f aca="false">IF(COUNT(M109:O109)=3,M109*N109*O109,"")</f>
        <v/>
      </c>
      <c r="Q109" s="24" t="str">
        <f aca="false">IF(P109="","",IF(P109&gt;=48,"Tier 1",IF(P109&gt;=20,"Tier 2","Tier 3")))</f>
        <v/>
      </c>
      <c r="R109" s="23"/>
      <c r="S109" s="23"/>
      <c r="T109" s="23"/>
    </row>
    <row r="110" customFormat="false" ht="15" hidden="false" customHeight="false" outlineLevel="0" collapsed="false">
      <c r="A110" s="13" t="s">
        <v>736</v>
      </c>
      <c r="B110" s="23"/>
      <c r="C110" s="23"/>
      <c r="D110" s="23"/>
      <c r="E110" s="23"/>
      <c r="F110" s="23"/>
      <c r="G110" s="23"/>
      <c r="H110" s="23"/>
      <c r="I110" s="28"/>
      <c r="J110" s="28"/>
      <c r="K110" s="28"/>
      <c r="L110" s="28"/>
      <c r="M110" s="16"/>
      <c r="N110" s="16"/>
      <c r="O110" s="16"/>
      <c r="P110" s="14" t="str">
        <f aca="false">IF(COUNT(M110:O110)=3,M110*N110*O110,"")</f>
        <v/>
      </c>
      <c r="Q110" s="24" t="str">
        <f aca="false">IF(P110="","",IF(P110&gt;=48,"Tier 1",IF(P110&gt;=20,"Tier 2","Tier 3")))</f>
        <v/>
      </c>
      <c r="R110" s="23"/>
      <c r="S110" s="23"/>
      <c r="T110" s="23"/>
    </row>
    <row r="111" customFormat="false" ht="15" hidden="false" customHeight="false" outlineLevel="0" collapsed="false">
      <c r="A111" s="13" t="s">
        <v>737</v>
      </c>
      <c r="B111" s="23"/>
      <c r="C111" s="23"/>
      <c r="D111" s="23"/>
      <c r="E111" s="23"/>
      <c r="F111" s="23"/>
      <c r="G111" s="23"/>
      <c r="H111" s="23"/>
      <c r="I111" s="28"/>
      <c r="J111" s="28"/>
      <c r="K111" s="28"/>
      <c r="L111" s="28"/>
      <c r="M111" s="16"/>
      <c r="N111" s="16"/>
      <c r="O111" s="16"/>
      <c r="P111" s="14" t="str">
        <f aca="false">IF(COUNT(M111:O111)=3,M111*N111*O111,"")</f>
        <v/>
      </c>
      <c r="Q111" s="24" t="str">
        <f aca="false">IF(P111="","",IF(P111&gt;=48,"Tier 1",IF(P111&gt;=20,"Tier 2","Tier 3")))</f>
        <v/>
      </c>
      <c r="R111" s="23"/>
      <c r="S111" s="23"/>
      <c r="T111" s="23"/>
    </row>
    <row r="112" customFormat="false" ht="15" hidden="false" customHeight="false" outlineLevel="0" collapsed="false">
      <c r="A112" s="13" t="s">
        <v>738</v>
      </c>
      <c r="B112" s="23"/>
      <c r="C112" s="23"/>
      <c r="D112" s="23"/>
      <c r="E112" s="23"/>
      <c r="F112" s="23"/>
      <c r="G112" s="23"/>
      <c r="H112" s="23"/>
      <c r="I112" s="28"/>
      <c r="J112" s="28"/>
      <c r="K112" s="28"/>
      <c r="L112" s="28"/>
      <c r="M112" s="16"/>
      <c r="N112" s="16"/>
      <c r="O112" s="16"/>
      <c r="P112" s="14" t="str">
        <f aca="false">IF(COUNT(M112:O112)=3,M112*N112*O112,"")</f>
        <v/>
      </c>
      <c r="Q112" s="24" t="str">
        <f aca="false">IF(P112="","",IF(P112&gt;=48,"Tier 1",IF(P112&gt;=20,"Tier 2","Tier 3")))</f>
        <v/>
      </c>
      <c r="R112" s="23"/>
      <c r="S112" s="23"/>
      <c r="T112" s="23"/>
    </row>
    <row r="113" customFormat="false" ht="15" hidden="false" customHeight="false" outlineLevel="0" collapsed="false">
      <c r="A113" s="13" t="s">
        <v>739</v>
      </c>
      <c r="B113" s="23"/>
      <c r="C113" s="23"/>
      <c r="D113" s="23"/>
      <c r="E113" s="23"/>
      <c r="F113" s="23"/>
      <c r="G113" s="23"/>
      <c r="H113" s="23"/>
      <c r="I113" s="28"/>
      <c r="J113" s="28"/>
      <c r="K113" s="28"/>
      <c r="L113" s="28"/>
      <c r="M113" s="16"/>
      <c r="N113" s="16"/>
      <c r="O113" s="16"/>
      <c r="P113" s="14" t="str">
        <f aca="false">IF(COUNT(M113:O113)=3,M113*N113*O113,"")</f>
        <v/>
      </c>
      <c r="Q113" s="24" t="str">
        <f aca="false">IF(P113="","",IF(P113&gt;=48,"Tier 1",IF(P113&gt;=20,"Tier 2","Tier 3")))</f>
        <v/>
      </c>
      <c r="R113" s="23"/>
      <c r="S113" s="23"/>
      <c r="T113" s="23"/>
    </row>
    <row r="114" customFormat="false" ht="15" hidden="false" customHeight="false" outlineLevel="0" collapsed="false">
      <c r="A114" s="13" t="s">
        <v>740</v>
      </c>
      <c r="B114" s="23"/>
      <c r="C114" s="23"/>
      <c r="D114" s="23"/>
      <c r="E114" s="23"/>
      <c r="F114" s="23"/>
      <c r="G114" s="23"/>
      <c r="H114" s="23"/>
      <c r="I114" s="28"/>
      <c r="J114" s="28"/>
      <c r="K114" s="28"/>
      <c r="L114" s="28"/>
      <c r="M114" s="16"/>
      <c r="N114" s="16"/>
      <c r="O114" s="16"/>
      <c r="P114" s="14" t="str">
        <f aca="false">IF(COUNT(M114:O114)=3,M114*N114*O114,"")</f>
        <v/>
      </c>
      <c r="Q114" s="24" t="str">
        <f aca="false">IF(P114="","",IF(P114&gt;=48,"Tier 1",IF(P114&gt;=20,"Tier 2","Tier 3")))</f>
        <v/>
      </c>
      <c r="R114" s="23"/>
      <c r="S114" s="23"/>
      <c r="T114" s="23"/>
    </row>
    <row r="115" customFormat="false" ht="15" hidden="false" customHeight="false" outlineLevel="0" collapsed="false">
      <c r="A115" s="13" t="s">
        <v>741</v>
      </c>
      <c r="B115" s="23"/>
      <c r="C115" s="23"/>
      <c r="D115" s="23"/>
      <c r="E115" s="23"/>
      <c r="F115" s="23"/>
      <c r="G115" s="23"/>
      <c r="H115" s="23"/>
      <c r="I115" s="28"/>
      <c r="J115" s="28"/>
      <c r="K115" s="28"/>
      <c r="L115" s="28"/>
      <c r="M115" s="16"/>
      <c r="N115" s="16"/>
      <c r="O115" s="16"/>
      <c r="P115" s="14" t="str">
        <f aca="false">IF(COUNT(M115:O115)=3,M115*N115*O115,"")</f>
        <v/>
      </c>
      <c r="Q115" s="24" t="str">
        <f aca="false">IF(P115="","",IF(P115&gt;=48,"Tier 1",IF(P115&gt;=20,"Tier 2","Tier 3")))</f>
        <v/>
      </c>
      <c r="R115" s="23"/>
      <c r="S115" s="23"/>
      <c r="T115" s="23"/>
    </row>
    <row r="116" customFormat="false" ht="15" hidden="false" customHeight="false" outlineLevel="0" collapsed="false">
      <c r="A116" s="13" t="s">
        <v>742</v>
      </c>
      <c r="B116" s="23"/>
      <c r="C116" s="23"/>
      <c r="D116" s="23"/>
      <c r="E116" s="23"/>
      <c r="F116" s="23"/>
      <c r="G116" s="23"/>
      <c r="H116" s="23"/>
      <c r="I116" s="28"/>
      <c r="J116" s="28"/>
      <c r="K116" s="28"/>
      <c r="L116" s="28"/>
      <c r="M116" s="16"/>
      <c r="N116" s="16"/>
      <c r="O116" s="16"/>
      <c r="P116" s="14" t="str">
        <f aca="false">IF(COUNT(M116:O116)=3,M116*N116*O116,"")</f>
        <v/>
      </c>
      <c r="Q116" s="24" t="str">
        <f aca="false">IF(P116="","",IF(P116&gt;=48,"Tier 1",IF(P116&gt;=20,"Tier 2","Tier 3")))</f>
        <v/>
      </c>
      <c r="R116" s="23"/>
      <c r="S116" s="23"/>
      <c r="T116" s="23"/>
    </row>
    <row r="117" customFormat="false" ht="15" hidden="false" customHeight="false" outlineLevel="0" collapsed="false">
      <c r="A117" s="13" t="s">
        <v>743</v>
      </c>
      <c r="B117" s="23"/>
      <c r="C117" s="23"/>
      <c r="D117" s="23"/>
      <c r="E117" s="23"/>
      <c r="F117" s="23"/>
      <c r="G117" s="23"/>
      <c r="H117" s="23"/>
      <c r="I117" s="28"/>
      <c r="J117" s="28"/>
      <c r="K117" s="28"/>
      <c r="L117" s="28"/>
      <c r="M117" s="16"/>
      <c r="N117" s="16"/>
      <c r="O117" s="16"/>
      <c r="P117" s="14" t="str">
        <f aca="false">IF(COUNT(M117:O117)=3,M117*N117*O117,"")</f>
        <v/>
      </c>
      <c r="Q117" s="24" t="str">
        <f aca="false">IF(P117="","",IF(P117&gt;=48,"Tier 1",IF(P117&gt;=20,"Tier 2","Tier 3")))</f>
        <v/>
      </c>
      <c r="R117" s="23"/>
      <c r="S117" s="23"/>
      <c r="T117" s="23"/>
    </row>
    <row r="118" customFormat="false" ht="15" hidden="false" customHeight="false" outlineLevel="0" collapsed="false">
      <c r="A118" s="13" t="s">
        <v>744</v>
      </c>
      <c r="B118" s="23"/>
      <c r="C118" s="23"/>
      <c r="D118" s="23"/>
      <c r="E118" s="23"/>
      <c r="F118" s="23"/>
      <c r="G118" s="23"/>
      <c r="H118" s="23"/>
      <c r="I118" s="28"/>
      <c r="J118" s="28"/>
      <c r="K118" s="28"/>
      <c r="L118" s="28"/>
      <c r="M118" s="16"/>
      <c r="N118" s="16"/>
      <c r="O118" s="16"/>
      <c r="P118" s="14" t="str">
        <f aca="false">IF(COUNT(M118:O118)=3,M118*N118*O118,"")</f>
        <v/>
      </c>
      <c r="Q118" s="24" t="str">
        <f aca="false">IF(P118="","",IF(P118&gt;=48,"Tier 1",IF(P118&gt;=20,"Tier 2","Tier 3")))</f>
        <v/>
      </c>
      <c r="R118" s="23"/>
      <c r="S118" s="23"/>
      <c r="T118" s="23"/>
    </row>
    <row r="119" customFormat="false" ht="15" hidden="false" customHeight="false" outlineLevel="0" collapsed="false">
      <c r="A119" s="13" t="s">
        <v>745</v>
      </c>
      <c r="B119" s="23"/>
      <c r="C119" s="23"/>
      <c r="D119" s="23"/>
      <c r="E119" s="23"/>
      <c r="F119" s="23"/>
      <c r="G119" s="23"/>
      <c r="H119" s="23"/>
      <c r="I119" s="28"/>
      <c r="J119" s="28"/>
      <c r="K119" s="28"/>
      <c r="L119" s="28"/>
      <c r="M119" s="16"/>
      <c r="N119" s="16"/>
      <c r="O119" s="16"/>
      <c r="P119" s="14" t="str">
        <f aca="false">IF(COUNT(M119:O119)=3,M119*N119*O119,"")</f>
        <v/>
      </c>
      <c r="Q119" s="24" t="str">
        <f aca="false">IF(P119="","",IF(P119&gt;=48,"Tier 1",IF(P119&gt;=20,"Tier 2","Tier 3")))</f>
        <v/>
      </c>
      <c r="R119" s="23"/>
      <c r="S119" s="23"/>
      <c r="T119" s="23"/>
    </row>
    <row r="120" customFormat="false" ht="15" hidden="false" customHeight="false" outlineLevel="0" collapsed="false">
      <c r="A120" s="13" t="s">
        <v>746</v>
      </c>
      <c r="B120" s="23"/>
      <c r="C120" s="23"/>
      <c r="D120" s="23"/>
      <c r="E120" s="23"/>
      <c r="F120" s="23"/>
      <c r="G120" s="23"/>
      <c r="H120" s="23"/>
      <c r="I120" s="28"/>
      <c r="J120" s="28"/>
      <c r="K120" s="28"/>
      <c r="L120" s="28"/>
      <c r="M120" s="16"/>
      <c r="N120" s="16"/>
      <c r="O120" s="16"/>
      <c r="P120" s="14" t="str">
        <f aca="false">IF(COUNT(M120:O120)=3,M120*N120*O120,"")</f>
        <v/>
      </c>
      <c r="Q120" s="24" t="str">
        <f aca="false">IF(P120="","",IF(P120&gt;=48,"Tier 1",IF(P120&gt;=20,"Tier 2","Tier 3")))</f>
        <v/>
      </c>
      <c r="R120" s="23"/>
      <c r="S120" s="23"/>
      <c r="T120" s="23"/>
    </row>
    <row r="121" customFormat="false" ht="15" hidden="false" customHeight="false" outlineLevel="0" collapsed="false">
      <c r="A121" s="13" t="s">
        <v>747</v>
      </c>
      <c r="B121" s="23"/>
      <c r="C121" s="23"/>
      <c r="D121" s="23"/>
      <c r="E121" s="23"/>
      <c r="F121" s="23"/>
      <c r="G121" s="23"/>
      <c r="H121" s="23"/>
      <c r="I121" s="28"/>
      <c r="J121" s="28"/>
      <c r="K121" s="28"/>
      <c r="L121" s="28"/>
      <c r="M121" s="16"/>
      <c r="N121" s="16"/>
      <c r="O121" s="16"/>
      <c r="P121" s="14" t="str">
        <f aca="false">IF(COUNT(M121:O121)=3,M121*N121*O121,"")</f>
        <v/>
      </c>
      <c r="Q121" s="24" t="str">
        <f aca="false">IF(P121="","",IF(P121&gt;=48,"Tier 1",IF(P121&gt;=20,"Tier 2","Tier 3")))</f>
        <v/>
      </c>
      <c r="R121" s="23"/>
      <c r="S121" s="23"/>
      <c r="T121" s="23"/>
    </row>
    <row r="122" customFormat="false" ht="15" hidden="false" customHeight="false" outlineLevel="0" collapsed="false">
      <c r="A122" s="13" t="s">
        <v>748</v>
      </c>
      <c r="B122" s="23"/>
      <c r="C122" s="23"/>
      <c r="D122" s="23"/>
      <c r="E122" s="23"/>
      <c r="F122" s="23"/>
      <c r="G122" s="23"/>
      <c r="H122" s="23"/>
      <c r="I122" s="28"/>
      <c r="J122" s="28"/>
      <c r="K122" s="28"/>
      <c r="L122" s="28"/>
      <c r="M122" s="16"/>
      <c r="N122" s="16"/>
      <c r="O122" s="16"/>
      <c r="P122" s="14" t="str">
        <f aca="false">IF(COUNT(M122:O122)=3,M122*N122*O122,"")</f>
        <v/>
      </c>
      <c r="Q122" s="24" t="str">
        <f aca="false">IF(P122="","",IF(P122&gt;=48,"Tier 1",IF(P122&gt;=20,"Tier 2","Tier 3")))</f>
        <v/>
      </c>
      <c r="R122" s="23"/>
      <c r="S122" s="23"/>
      <c r="T122" s="23"/>
    </row>
    <row r="123" customFormat="false" ht="15" hidden="false" customHeight="false" outlineLevel="0" collapsed="false">
      <c r="A123" s="13" t="s">
        <v>749</v>
      </c>
      <c r="B123" s="23"/>
      <c r="C123" s="23"/>
      <c r="D123" s="23"/>
      <c r="E123" s="23"/>
      <c r="F123" s="23"/>
      <c r="G123" s="23"/>
      <c r="H123" s="23"/>
      <c r="I123" s="28"/>
      <c r="J123" s="28"/>
      <c r="K123" s="28"/>
      <c r="L123" s="28"/>
      <c r="M123" s="16"/>
      <c r="N123" s="16"/>
      <c r="O123" s="16"/>
      <c r="P123" s="14" t="str">
        <f aca="false">IF(COUNT(M123:O123)=3,M123*N123*O123,"")</f>
        <v/>
      </c>
      <c r="Q123" s="24" t="str">
        <f aca="false">IF(P123="","",IF(P123&gt;=48,"Tier 1",IF(P123&gt;=20,"Tier 2","Tier 3")))</f>
        <v/>
      </c>
      <c r="R123" s="23"/>
      <c r="S123" s="23"/>
      <c r="T123" s="23"/>
    </row>
    <row r="124" customFormat="false" ht="15" hidden="false" customHeight="false" outlineLevel="0" collapsed="false">
      <c r="A124" s="13" t="s">
        <v>750</v>
      </c>
      <c r="B124" s="23"/>
      <c r="C124" s="23"/>
      <c r="D124" s="23"/>
      <c r="E124" s="23"/>
      <c r="F124" s="23"/>
      <c r="G124" s="23"/>
      <c r="H124" s="23"/>
      <c r="I124" s="28"/>
      <c r="J124" s="28"/>
      <c r="K124" s="28"/>
      <c r="L124" s="28"/>
      <c r="M124" s="16"/>
      <c r="N124" s="16"/>
      <c r="O124" s="16"/>
      <c r="P124" s="14" t="str">
        <f aca="false">IF(COUNT(M124:O124)=3,M124*N124*O124,"")</f>
        <v/>
      </c>
      <c r="Q124" s="24" t="str">
        <f aca="false">IF(P124="","",IF(P124&gt;=48,"Tier 1",IF(P124&gt;=20,"Tier 2","Tier 3")))</f>
        <v/>
      </c>
      <c r="R124" s="23"/>
      <c r="S124" s="23"/>
      <c r="T124" s="23"/>
    </row>
    <row r="125" customFormat="false" ht="15" hidden="false" customHeight="false" outlineLevel="0" collapsed="false">
      <c r="A125" s="13" t="s">
        <v>751</v>
      </c>
      <c r="B125" s="23"/>
      <c r="C125" s="23"/>
      <c r="D125" s="23"/>
      <c r="E125" s="23"/>
      <c r="F125" s="23"/>
      <c r="G125" s="23"/>
      <c r="H125" s="23"/>
      <c r="I125" s="28"/>
      <c r="J125" s="28"/>
      <c r="K125" s="28"/>
      <c r="L125" s="28"/>
      <c r="M125" s="16"/>
      <c r="N125" s="16"/>
      <c r="O125" s="16"/>
      <c r="P125" s="14" t="str">
        <f aca="false">IF(COUNT(M125:O125)=3,M125*N125*O125,"")</f>
        <v/>
      </c>
      <c r="Q125" s="24" t="str">
        <f aca="false">IF(P125="","",IF(P125&gt;=48,"Tier 1",IF(P125&gt;=20,"Tier 2","Tier 3")))</f>
        <v/>
      </c>
      <c r="R125" s="23"/>
      <c r="S125" s="23"/>
      <c r="T125" s="23"/>
    </row>
    <row r="126" customFormat="false" ht="15" hidden="false" customHeight="false" outlineLevel="0" collapsed="false">
      <c r="A126" s="13" t="s">
        <v>752</v>
      </c>
      <c r="B126" s="23"/>
      <c r="C126" s="23"/>
      <c r="D126" s="23"/>
      <c r="E126" s="23"/>
      <c r="F126" s="23"/>
      <c r="G126" s="23"/>
      <c r="H126" s="23"/>
      <c r="I126" s="28"/>
      <c r="J126" s="28"/>
      <c r="K126" s="28"/>
      <c r="L126" s="28"/>
      <c r="M126" s="16"/>
      <c r="N126" s="16"/>
      <c r="O126" s="16"/>
      <c r="P126" s="14" t="str">
        <f aca="false">IF(COUNT(M126:O126)=3,M126*N126*O126,"")</f>
        <v/>
      </c>
      <c r="Q126" s="24" t="str">
        <f aca="false">IF(P126="","",IF(P126&gt;=48,"Tier 1",IF(P126&gt;=20,"Tier 2","Tier 3")))</f>
        <v/>
      </c>
      <c r="R126" s="23"/>
      <c r="S126" s="23"/>
      <c r="T126" s="23"/>
    </row>
    <row r="127" customFormat="false" ht="15" hidden="false" customHeight="false" outlineLevel="0" collapsed="false">
      <c r="A127" s="13" t="s">
        <v>753</v>
      </c>
      <c r="B127" s="23"/>
      <c r="C127" s="23"/>
      <c r="D127" s="23"/>
      <c r="E127" s="23"/>
      <c r="F127" s="23"/>
      <c r="G127" s="23"/>
      <c r="H127" s="23"/>
      <c r="I127" s="28"/>
      <c r="J127" s="28"/>
      <c r="K127" s="28"/>
      <c r="L127" s="28"/>
      <c r="M127" s="16"/>
      <c r="N127" s="16"/>
      <c r="O127" s="16"/>
      <c r="P127" s="14" t="str">
        <f aca="false">IF(COUNT(M127:O127)=3,M127*N127*O127,"")</f>
        <v/>
      </c>
      <c r="Q127" s="24" t="str">
        <f aca="false">IF(P127="","",IF(P127&gt;=48,"Tier 1",IF(P127&gt;=20,"Tier 2","Tier 3")))</f>
        <v/>
      </c>
      <c r="R127" s="23"/>
      <c r="S127" s="23"/>
      <c r="T127" s="23"/>
    </row>
    <row r="128" customFormat="false" ht="15" hidden="false" customHeight="false" outlineLevel="0" collapsed="false">
      <c r="A128" s="13" t="s">
        <v>754</v>
      </c>
      <c r="B128" s="23"/>
      <c r="C128" s="23"/>
      <c r="D128" s="23"/>
      <c r="E128" s="23"/>
      <c r="F128" s="23"/>
      <c r="G128" s="23"/>
      <c r="H128" s="23"/>
      <c r="I128" s="28"/>
      <c r="J128" s="28"/>
      <c r="K128" s="28"/>
      <c r="L128" s="28"/>
      <c r="M128" s="16"/>
      <c r="N128" s="16"/>
      <c r="O128" s="16"/>
      <c r="P128" s="14" t="str">
        <f aca="false">IF(COUNT(M128:O128)=3,M128*N128*O128,"")</f>
        <v/>
      </c>
      <c r="Q128" s="24" t="str">
        <f aca="false">IF(P128="","",IF(P128&gt;=48,"Tier 1",IF(P128&gt;=20,"Tier 2","Tier 3")))</f>
        <v/>
      </c>
      <c r="R128" s="23"/>
      <c r="S128" s="23"/>
      <c r="T128" s="23"/>
    </row>
    <row r="129" customFormat="false" ht="15" hidden="false" customHeight="false" outlineLevel="0" collapsed="false">
      <c r="A129" s="13" t="s">
        <v>755</v>
      </c>
      <c r="B129" s="23"/>
      <c r="C129" s="23"/>
      <c r="D129" s="23"/>
      <c r="E129" s="23"/>
      <c r="F129" s="23"/>
      <c r="G129" s="23"/>
      <c r="H129" s="23"/>
      <c r="I129" s="28"/>
      <c r="J129" s="28"/>
      <c r="K129" s="28"/>
      <c r="L129" s="28"/>
      <c r="M129" s="16"/>
      <c r="N129" s="16"/>
      <c r="O129" s="16"/>
      <c r="P129" s="14" t="str">
        <f aca="false">IF(COUNT(M129:O129)=3,M129*N129*O129,"")</f>
        <v/>
      </c>
      <c r="Q129" s="24" t="str">
        <f aca="false">IF(P129="","",IF(P129&gt;=48,"Tier 1",IF(P129&gt;=20,"Tier 2","Tier 3")))</f>
        <v/>
      </c>
      <c r="R129" s="23"/>
      <c r="S129" s="23"/>
      <c r="T129" s="23"/>
    </row>
    <row r="130" customFormat="false" ht="15" hidden="false" customHeight="false" outlineLevel="0" collapsed="false">
      <c r="A130" s="13" t="s">
        <v>756</v>
      </c>
      <c r="B130" s="23"/>
      <c r="C130" s="23"/>
      <c r="D130" s="23"/>
      <c r="E130" s="23"/>
      <c r="F130" s="23"/>
      <c r="G130" s="23"/>
      <c r="H130" s="23"/>
      <c r="I130" s="28"/>
      <c r="J130" s="28"/>
      <c r="K130" s="28"/>
      <c r="L130" s="28"/>
      <c r="M130" s="16"/>
      <c r="N130" s="16"/>
      <c r="O130" s="16"/>
      <c r="P130" s="14" t="str">
        <f aca="false">IF(COUNT(M130:O130)=3,M130*N130*O130,"")</f>
        <v/>
      </c>
      <c r="Q130" s="24" t="str">
        <f aca="false">IF(P130="","",IF(P130&gt;=48,"Tier 1",IF(P130&gt;=20,"Tier 2","Tier 3")))</f>
        <v/>
      </c>
      <c r="R130" s="23"/>
      <c r="S130" s="23"/>
      <c r="T130" s="23"/>
    </row>
    <row r="131" customFormat="false" ht="15" hidden="false" customHeight="false" outlineLevel="0" collapsed="false">
      <c r="A131" s="13" t="s">
        <v>757</v>
      </c>
      <c r="B131" s="23"/>
      <c r="C131" s="23"/>
      <c r="D131" s="23"/>
      <c r="E131" s="23"/>
      <c r="F131" s="23"/>
      <c r="G131" s="23"/>
      <c r="H131" s="23"/>
      <c r="I131" s="28"/>
      <c r="J131" s="28"/>
      <c r="K131" s="28"/>
      <c r="L131" s="28"/>
      <c r="M131" s="16"/>
      <c r="N131" s="16"/>
      <c r="O131" s="16"/>
      <c r="P131" s="14" t="str">
        <f aca="false">IF(COUNT(M131:O131)=3,M131*N131*O131,"")</f>
        <v/>
      </c>
      <c r="Q131" s="24" t="str">
        <f aca="false">IF(P131="","",IF(P131&gt;=48,"Tier 1",IF(P131&gt;=20,"Tier 2","Tier 3")))</f>
        <v/>
      </c>
      <c r="R131" s="23"/>
      <c r="S131" s="23"/>
      <c r="T131" s="23"/>
    </row>
    <row r="132" customFormat="false" ht="15" hidden="false" customHeight="false" outlineLevel="0" collapsed="false">
      <c r="A132" s="13" t="s">
        <v>758</v>
      </c>
      <c r="B132" s="23"/>
      <c r="C132" s="23"/>
      <c r="D132" s="23"/>
      <c r="E132" s="23"/>
      <c r="F132" s="23"/>
      <c r="G132" s="23"/>
      <c r="H132" s="23"/>
      <c r="I132" s="28"/>
      <c r="J132" s="28"/>
      <c r="K132" s="28"/>
      <c r="L132" s="28"/>
      <c r="M132" s="16"/>
      <c r="N132" s="16"/>
      <c r="O132" s="16"/>
      <c r="P132" s="14" t="str">
        <f aca="false">IF(COUNT(M132:O132)=3,M132*N132*O132,"")</f>
        <v/>
      </c>
      <c r="Q132" s="24" t="str">
        <f aca="false">IF(P132="","",IF(P132&gt;=48,"Tier 1",IF(P132&gt;=20,"Tier 2","Tier 3")))</f>
        <v/>
      </c>
      <c r="R132" s="23"/>
      <c r="S132" s="23"/>
      <c r="T132" s="23"/>
    </row>
    <row r="133" customFormat="false" ht="15" hidden="false" customHeight="false" outlineLevel="0" collapsed="false">
      <c r="A133" s="13" t="s">
        <v>759</v>
      </c>
      <c r="B133" s="23"/>
      <c r="C133" s="23"/>
      <c r="D133" s="23"/>
      <c r="E133" s="23"/>
      <c r="F133" s="23"/>
      <c r="G133" s="23"/>
      <c r="H133" s="23"/>
      <c r="I133" s="28"/>
      <c r="J133" s="28"/>
      <c r="K133" s="28"/>
      <c r="L133" s="28"/>
      <c r="M133" s="16"/>
      <c r="N133" s="16"/>
      <c r="O133" s="16"/>
      <c r="P133" s="14" t="str">
        <f aca="false">IF(COUNT(M133:O133)=3,M133*N133*O133,"")</f>
        <v/>
      </c>
      <c r="Q133" s="24" t="str">
        <f aca="false">IF(P133="","",IF(P133&gt;=48,"Tier 1",IF(P133&gt;=20,"Tier 2","Tier 3")))</f>
        <v/>
      </c>
      <c r="R133" s="23"/>
      <c r="S133" s="23"/>
      <c r="T133" s="23"/>
    </row>
    <row r="134" customFormat="false" ht="15" hidden="false" customHeight="false" outlineLevel="0" collapsed="false">
      <c r="A134" s="13" t="s">
        <v>760</v>
      </c>
      <c r="B134" s="23"/>
      <c r="C134" s="23"/>
      <c r="D134" s="23"/>
      <c r="E134" s="23"/>
      <c r="F134" s="23"/>
      <c r="G134" s="23"/>
      <c r="H134" s="23"/>
      <c r="I134" s="28"/>
      <c r="J134" s="28"/>
      <c r="K134" s="28"/>
      <c r="L134" s="28"/>
      <c r="M134" s="16"/>
      <c r="N134" s="16"/>
      <c r="O134" s="16"/>
      <c r="P134" s="14" t="str">
        <f aca="false">IF(COUNT(M134:O134)=3,M134*N134*O134,"")</f>
        <v/>
      </c>
      <c r="Q134" s="24" t="str">
        <f aca="false">IF(P134="","",IF(P134&gt;=48,"Tier 1",IF(P134&gt;=20,"Tier 2","Tier 3")))</f>
        <v/>
      </c>
      <c r="R134" s="23"/>
      <c r="S134" s="23"/>
      <c r="T134" s="23"/>
    </row>
    <row r="135" customFormat="false" ht="15" hidden="false" customHeight="false" outlineLevel="0" collapsed="false">
      <c r="A135" s="13" t="s">
        <v>761</v>
      </c>
      <c r="B135" s="23"/>
      <c r="C135" s="23"/>
      <c r="D135" s="23"/>
      <c r="E135" s="23"/>
      <c r="F135" s="23"/>
      <c r="G135" s="23"/>
      <c r="H135" s="23"/>
      <c r="I135" s="28"/>
      <c r="J135" s="28"/>
      <c r="K135" s="28"/>
      <c r="L135" s="28"/>
      <c r="M135" s="16"/>
      <c r="N135" s="16"/>
      <c r="O135" s="16"/>
      <c r="P135" s="14" t="str">
        <f aca="false">IF(COUNT(M135:O135)=3,M135*N135*O135,"")</f>
        <v/>
      </c>
      <c r="Q135" s="24" t="str">
        <f aca="false">IF(P135="","",IF(P135&gt;=48,"Tier 1",IF(P135&gt;=20,"Tier 2","Tier 3")))</f>
        <v/>
      </c>
      <c r="R135" s="23"/>
      <c r="S135" s="23"/>
      <c r="T135" s="23"/>
    </row>
    <row r="136" customFormat="false" ht="15" hidden="false" customHeight="false" outlineLevel="0" collapsed="false">
      <c r="A136" s="13" t="s">
        <v>762</v>
      </c>
      <c r="B136" s="23"/>
      <c r="C136" s="23"/>
      <c r="D136" s="23"/>
      <c r="E136" s="23"/>
      <c r="F136" s="23"/>
      <c r="G136" s="23"/>
      <c r="H136" s="23"/>
      <c r="I136" s="28"/>
      <c r="J136" s="28"/>
      <c r="K136" s="28"/>
      <c r="L136" s="28"/>
      <c r="M136" s="16"/>
      <c r="N136" s="16"/>
      <c r="O136" s="16"/>
      <c r="P136" s="14" t="str">
        <f aca="false">IF(COUNT(M136:O136)=3,M136*N136*O136,"")</f>
        <v/>
      </c>
      <c r="Q136" s="24" t="str">
        <f aca="false">IF(P136="","",IF(P136&gt;=48,"Tier 1",IF(P136&gt;=20,"Tier 2","Tier 3")))</f>
        <v/>
      </c>
      <c r="R136" s="23"/>
      <c r="S136" s="23"/>
      <c r="T136" s="23"/>
    </row>
    <row r="137" customFormat="false" ht="15" hidden="false" customHeight="false" outlineLevel="0" collapsed="false">
      <c r="A137" s="13" t="s">
        <v>763</v>
      </c>
      <c r="B137" s="23"/>
      <c r="C137" s="23"/>
      <c r="D137" s="23"/>
      <c r="E137" s="23"/>
      <c r="F137" s="23"/>
      <c r="G137" s="23"/>
      <c r="H137" s="23"/>
      <c r="I137" s="28"/>
      <c r="J137" s="28"/>
      <c r="K137" s="28"/>
      <c r="L137" s="28"/>
      <c r="M137" s="16"/>
      <c r="N137" s="16"/>
      <c r="O137" s="16"/>
      <c r="P137" s="14" t="str">
        <f aca="false">IF(COUNT(M137:O137)=3,M137*N137*O137,"")</f>
        <v/>
      </c>
      <c r="Q137" s="24" t="str">
        <f aca="false">IF(P137="","",IF(P137&gt;=48,"Tier 1",IF(P137&gt;=20,"Tier 2","Tier 3")))</f>
        <v/>
      </c>
      <c r="R137" s="23"/>
      <c r="S137" s="23"/>
      <c r="T137" s="23"/>
    </row>
    <row r="138" customFormat="false" ht="15" hidden="false" customHeight="false" outlineLevel="0" collapsed="false">
      <c r="A138" s="13" t="s">
        <v>764</v>
      </c>
      <c r="B138" s="23"/>
      <c r="C138" s="23"/>
      <c r="D138" s="23"/>
      <c r="E138" s="23"/>
      <c r="F138" s="23"/>
      <c r="G138" s="23"/>
      <c r="H138" s="23"/>
      <c r="I138" s="28"/>
      <c r="J138" s="28"/>
      <c r="K138" s="28"/>
      <c r="L138" s="28"/>
      <c r="M138" s="16"/>
      <c r="N138" s="16"/>
      <c r="O138" s="16"/>
      <c r="P138" s="14" t="str">
        <f aca="false">IF(COUNT(M138:O138)=3,M138*N138*O138,"")</f>
        <v/>
      </c>
      <c r="Q138" s="24" t="str">
        <f aca="false">IF(P138="","",IF(P138&gt;=48,"Tier 1",IF(P138&gt;=20,"Tier 2","Tier 3")))</f>
        <v/>
      </c>
      <c r="R138" s="23"/>
      <c r="S138" s="23"/>
      <c r="T138" s="23"/>
    </row>
    <row r="139" customFormat="false" ht="15" hidden="false" customHeight="false" outlineLevel="0" collapsed="false">
      <c r="A139" s="13" t="s">
        <v>765</v>
      </c>
      <c r="B139" s="23"/>
      <c r="C139" s="23"/>
      <c r="D139" s="23"/>
      <c r="E139" s="23"/>
      <c r="F139" s="23"/>
      <c r="G139" s="23"/>
      <c r="H139" s="23"/>
      <c r="I139" s="28"/>
      <c r="J139" s="28"/>
      <c r="K139" s="28"/>
      <c r="L139" s="28"/>
      <c r="M139" s="16"/>
      <c r="N139" s="16"/>
      <c r="O139" s="16"/>
      <c r="P139" s="14" t="str">
        <f aca="false">IF(COUNT(M139:O139)=3,M139*N139*O139,"")</f>
        <v/>
      </c>
      <c r="Q139" s="24" t="str">
        <f aca="false">IF(P139="","",IF(P139&gt;=48,"Tier 1",IF(P139&gt;=20,"Tier 2","Tier 3")))</f>
        <v/>
      </c>
      <c r="R139" s="23"/>
      <c r="S139" s="23"/>
      <c r="T139" s="23"/>
    </row>
    <row r="140" customFormat="false" ht="15" hidden="false" customHeight="false" outlineLevel="0" collapsed="false">
      <c r="A140" s="13" t="s">
        <v>766</v>
      </c>
      <c r="B140" s="23"/>
      <c r="C140" s="23"/>
      <c r="D140" s="23"/>
      <c r="E140" s="23"/>
      <c r="F140" s="23"/>
      <c r="G140" s="23"/>
      <c r="H140" s="23"/>
      <c r="I140" s="28"/>
      <c r="J140" s="28"/>
      <c r="K140" s="28"/>
      <c r="L140" s="28"/>
      <c r="M140" s="16"/>
      <c r="N140" s="16"/>
      <c r="O140" s="16"/>
      <c r="P140" s="14" t="str">
        <f aca="false">IF(COUNT(M140:O140)=3,M140*N140*O140,"")</f>
        <v/>
      </c>
      <c r="Q140" s="24" t="str">
        <f aca="false">IF(P140="","",IF(P140&gt;=48,"Tier 1",IF(P140&gt;=20,"Tier 2","Tier 3")))</f>
        <v/>
      </c>
      <c r="R140" s="23"/>
      <c r="S140" s="23"/>
      <c r="T140" s="23"/>
    </row>
    <row r="141" customFormat="false" ht="15" hidden="false" customHeight="false" outlineLevel="0" collapsed="false">
      <c r="A141" s="13" t="s">
        <v>767</v>
      </c>
      <c r="B141" s="23"/>
      <c r="C141" s="23"/>
      <c r="D141" s="23"/>
      <c r="E141" s="23"/>
      <c r="F141" s="23"/>
      <c r="G141" s="23"/>
      <c r="H141" s="23"/>
      <c r="I141" s="28"/>
      <c r="J141" s="28"/>
      <c r="K141" s="28"/>
      <c r="L141" s="28"/>
      <c r="M141" s="16"/>
      <c r="N141" s="16"/>
      <c r="O141" s="16"/>
      <c r="P141" s="14" t="str">
        <f aca="false">IF(COUNT(M141:O141)=3,M141*N141*O141,"")</f>
        <v/>
      </c>
      <c r="Q141" s="24" t="str">
        <f aca="false">IF(P141="","",IF(P141&gt;=48,"Tier 1",IF(P141&gt;=20,"Tier 2","Tier 3")))</f>
        <v/>
      </c>
      <c r="R141" s="23"/>
      <c r="S141" s="23"/>
      <c r="T141" s="23"/>
    </row>
    <row r="142" customFormat="false" ht="15" hidden="false" customHeight="false" outlineLevel="0" collapsed="false">
      <c r="A142" s="13" t="s">
        <v>768</v>
      </c>
      <c r="B142" s="23"/>
      <c r="C142" s="23"/>
      <c r="D142" s="23"/>
      <c r="E142" s="23"/>
      <c r="F142" s="23"/>
      <c r="G142" s="23"/>
      <c r="H142" s="23"/>
      <c r="I142" s="28"/>
      <c r="J142" s="28"/>
      <c r="K142" s="28"/>
      <c r="L142" s="28"/>
      <c r="M142" s="16"/>
      <c r="N142" s="16"/>
      <c r="O142" s="16"/>
      <c r="P142" s="14" t="str">
        <f aca="false">IF(COUNT(M142:O142)=3,M142*N142*O142,"")</f>
        <v/>
      </c>
      <c r="Q142" s="24" t="str">
        <f aca="false">IF(P142="","",IF(P142&gt;=48,"Tier 1",IF(P142&gt;=20,"Tier 2","Tier 3")))</f>
        <v/>
      </c>
      <c r="R142" s="23"/>
      <c r="S142" s="23"/>
      <c r="T142" s="23"/>
    </row>
    <row r="143" customFormat="false" ht="15" hidden="false" customHeight="false" outlineLevel="0" collapsed="false">
      <c r="A143" s="13" t="s">
        <v>769</v>
      </c>
      <c r="B143" s="23"/>
      <c r="C143" s="23"/>
      <c r="D143" s="23"/>
      <c r="E143" s="23"/>
      <c r="F143" s="23"/>
      <c r="G143" s="23"/>
      <c r="H143" s="23"/>
      <c r="I143" s="28"/>
      <c r="J143" s="28"/>
      <c r="K143" s="28"/>
      <c r="L143" s="28"/>
      <c r="M143" s="16"/>
      <c r="N143" s="16"/>
      <c r="O143" s="16"/>
      <c r="P143" s="14" t="str">
        <f aca="false">IF(COUNT(M143:O143)=3,M143*N143*O143,"")</f>
        <v/>
      </c>
      <c r="Q143" s="24" t="str">
        <f aca="false">IF(P143="","",IF(P143&gt;=48,"Tier 1",IF(P143&gt;=20,"Tier 2","Tier 3")))</f>
        <v/>
      </c>
      <c r="R143" s="23"/>
      <c r="S143" s="23"/>
      <c r="T143" s="23"/>
    </row>
    <row r="144" customFormat="false" ht="15" hidden="false" customHeight="false" outlineLevel="0" collapsed="false">
      <c r="A144" s="13" t="s">
        <v>770</v>
      </c>
      <c r="B144" s="23"/>
      <c r="C144" s="23"/>
      <c r="D144" s="23"/>
      <c r="E144" s="23"/>
      <c r="F144" s="23"/>
      <c r="G144" s="23"/>
      <c r="H144" s="23"/>
      <c r="I144" s="28"/>
      <c r="J144" s="28"/>
      <c r="K144" s="28"/>
      <c r="L144" s="28"/>
      <c r="M144" s="16"/>
      <c r="N144" s="16"/>
      <c r="O144" s="16"/>
      <c r="P144" s="14" t="str">
        <f aca="false">IF(COUNT(M144:O144)=3,M144*N144*O144,"")</f>
        <v/>
      </c>
      <c r="Q144" s="24" t="str">
        <f aca="false">IF(P144="","",IF(P144&gt;=48,"Tier 1",IF(P144&gt;=20,"Tier 2","Tier 3")))</f>
        <v/>
      </c>
      <c r="R144" s="23"/>
      <c r="S144" s="23"/>
      <c r="T144" s="23"/>
    </row>
    <row r="145" customFormat="false" ht="15" hidden="false" customHeight="false" outlineLevel="0" collapsed="false">
      <c r="A145" s="13" t="s">
        <v>771</v>
      </c>
      <c r="B145" s="23"/>
      <c r="C145" s="23"/>
      <c r="D145" s="23"/>
      <c r="E145" s="23"/>
      <c r="F145" s="23"/>
      <c r="G145" s="23"/>
      <c r="H145" s="23"/>
      <c r="I145" s="28"/>
      <c r="J145" s="28"/>
      <c r="K145" s="28"/>
      <c r="L145" s="28"/>
      <c r="M145" s="16"/>
      <c r="N145" s="16"/>
      <c r="O145" s="16"/>
      <c r="P145" s="14" t="str">
        <f aca="false">IF(COUNT(M145:O145)=3,M145*N145*O145,"")</f>
        <v/>
      </c>
      <c r="Q145" s="24" t="str">
        <f aca="false">IF(P145="","",IF(P145&gt;=48,"Tier 1",IF(P145&gt;=20,"Tier 2","Tier 3")))</f>
        <v/>
      </c>
      <c r="R145" s="23"/>
      <c r="S145" s="23"/>
      <c r="T145" s="23"/>
    </row>
    <row r="146" customFormat="false" ht="15" hidden="false" customHeight="false" outlineLevel="0" collapsed="false">
      <c r="A146" s="13" t="s">
        <v>772</v>
      </c>
      <c r="B146" s="23"/>
      <c r="C146" s="23"/>
      <c r="D146" s="23"/>
      <c r="E146" s="23"/>
      <c r="F146" s="23"/>
      <c r="G146" s="23"/>
      <c r="H146" s="23"/>
      <c r="I146" s="28"/>
      <c r="J146" s="28"/>
      <c r="K146" s="28"/>
      <c r="L146" s="28"/>
      <c r="M146" s="16"/>
      <c r="N146" s="16"/>
      <c r="O146" s="16"/>
      <c r="P146" s="14" t="str">
        <f aca="false">IF(COUNT(M146:O146)=3,M146*N146*O146,"")</f>
        <v/>
      </c>
      <c r="Q146" s="24" t="str">
        <f aca="false">IF(P146="","",IF(P146&gt;=48,"Tier 1",IF(P146&gt;=20,"Tier 2","Tier 3")))</f>
        <v/>
      </c>
      <c r="R146" s="23"/>
      <c r="S146" s="23"/>
      <c r="T146" s="23"/>
    </row>
    <row r="147" customFormat="false" ht="15" hidden="false" customHeight="false" outlineLevel="0" collapsed="false">
      <c r="A147" s="13" t="s">
        <v>773</v>
      </c>
      <c r="B147" s="23"/>
      <c r="C147" s="23"/>
      <c r="D147" s="23"/>
      <c r="E147" s="23"/>
      <c r="F147" s="23"/>
      <c r="G147" s="23"/>
      <c r="H147" s="23"/>
      <c r="I147" s="28"/>
      <c r="J147" s="28"/>
      <c r="K147" s="28"/>
      <c r="L147" s="28"/>
      <c r="M147" s="16"/>
      <c r="N147" s="16"/>
      <c r="O147" s="16"/>
      <c r="P147" s="14" t="str">
        <f aca="false">IF(COUNT(M147:O147)=3,M147*N147*O147,"")</f>
        <v/>
      </c>
      <c r="Q147" s="24" t="str">
        <f aca="false">IF(P147="","",IF(P147&gt;=48,"Tier 1",IF(P147&gt;=20,"Tier 2","Tier 3")))</f>
        <v/>
      </c>
      <c r="R147" s="23"/>
      <c r="S147" s="23"/>
      <c r="T147" s="23"/>
    </row>
    <row r="148" customFormat="false" ht="15" hidden="false" customHeight="false" outlineLevel="0" collapsed="false">
      <c r="A148" s="13" t="s">
        <v>774</v>
      </c>
      <c r="B148" s="23"/>
      <c r="C148" s="23"/>
      <c r="D148" s="23"/>
      <c r="E148" s="23"/>
      <c r="F148" s="23"/>
      <c r="G148" s="23"/>
      <c r="H148" s="23"/>
      <c r="I148" s="28"/>
      <c r="J148" s="28"/>
      <c r="K148" s="28"/>
      <c r="L148" s="28"/>
      <c r="M148" s="16"/>
      <c r="N148" s="16"/>
      <c r="O148" s="16"/>
      <c r="P148" s="14" t="str">
        <f aca="false">IF(COUNT(M148:O148)=3,M148*N148*O148,"")</f>
        <v/>
      </c>
      <c r="Q148" s="24" t="str">
        <f aca="false">IF(P148="","",IF(P148&gt;=48,"Tier 1",IF(P148&gt;=20,"Tier 2","Tier 3")))</f>
        <v/>
      </c>
      <c r="R148" s="23"/>
      <c r="S148" s="23"/>
      <c r="T148" s="23"/>
    </row>
    <row r="149" customFormat="false" ht="15" hidden="false" customHeight="false" outlineLevel="0" collapsed="false">
      <c r="A149" s="13" t="s">
        <v>775</v>
      </c>
      <c r="B149" s="23"/>
      <c r="C149" s="23"/>
      <c r="D149" s="23"/>
      <c r="E149" s="23"/>
      <c r="F149" s="23"/>
      <c r="G149" s="23"/>
      <c r="H149" s="23"/>
      <c r="I149" s="28"/>
      <c r="J149" s="28"/>
      <c r="K149" s="28"/>
      <c r="L149" s="28"/>
      <c r="M149" s="16"/>
      <c r="N149" s="16"/>
      <c r="O149" s="16"/>
      <c r="P149" s="14" t="str">
        <f aca="false">IF(COUNT(M149:O149)=3,M149*N149*O149,"")</f>
        <v/>
      </c>
      <c r="Q149" s="24" t="str">
        <f aca="false">IF(P149="","",IF(P149&gt;=48,"Tier 1",IF(P149&gt;=20,"Tier 2","Tier 3")))</f>
        <v/>
      </c>
      <c r="R149" s="23"/>
      <c r="S149" s="23"/>
      <c r="T149" s="23"/>
    </row>
    <row r="150" customFormat="false" ht="15" hidden="false" customHeight="false" outlineLevel="0" collapsed="false">
      <c r="A150" s="13" t="s">
        <v>776</v>
      </c>
      <c r="B150" s="23"/>
      <c r="C150" s="23"/>
      <c r="D150" s="23"/>
      <c r="E150" s="23"/>
      <c r="F150" s="23"/>
      <c r="G150" s="23"/>
      <c r="H150" s="23"/>
      <c r="I150" s="28"/>
      <c r="J150" s="28"/>
      <c r="K150" s="28"/>
      <c r="L150" s="28"/>
      <c r="M150" s="16"/>
      <c r="N150" s="16"/>
      <c r="O150" s="16"/>
      <c r="P150" s="14" t="str">
        <f aca="false">IF(COUNT(M150:O150)=3,M150*N150*O150,"")</f>
        <v/>
      </c>
      <c r="Q150" s="24" t="str">
        <f aca="false">IF(P150="","",IF(P150&gt;=48,"Tier 1",IF(P150&gt;=20,"Tier 2","Tier 3")))</f>
        <v/>
      </c>
      <c r="R150" s="23"/>
      <c r="S150" s="23"/>
      <c r="T150" s="23"/>
    </row>
    <row r="151" customFormat="false" ht="15" hidden="false" customHeight="false" outlineLevel="0" collapsed="false">
      <c r="A151" s="13" t="s">
        <v>777</v>
      </c>
      <c r="B151" s="23"/>
      <c r="C151" s="23"/>
      <c r="D151" s="23"/>
      <c r="E151" s="23"/>
      <c r="F151" s="23"/>
      <c r="G151" s="23"/>
      <c r="H151" s="23"/>
      <c r="I151" s="28"/>
      <c r="J151" s="28"/>
      <c r="K151" s="28"/>
      <c r="L151" s="28"/>
      <c r="M151" s="16"/>
      <c r="N151" s="16"/>
      <c r="O151" s="16"/>
      <c r="P151" s="14" t="str">
        <f aca="false">IF(COUNT(M151:O151)=3,M151*N151*O151,"")</f>
        <v/>
      </c>
      <c r="Q151" s="24" t="str">
        <f aca="false">IF(P151="","",IF(P151&gt;=48,"Tier 1",IF(P151&gt;=20,"Tier 2","Tier 3")))</f>
        <v/>
      </c>
      <c r="R151" s="23"/>
      <c r="S151" s="23"/>
      <c r="T151" s="23"/>
    </row>
    <row r="152" customFormat="false" ht="15" hidden="false" customHeight="false" outlineLevel="0" collapsed="false">
      <c r="A152" s="13" t="s">
        <v>778</v>
      </c>
      <c r="B152" s="23"/>
      <c r="C152" s="23"/>
      <c r="D152" s="23"/>
      <c r="E152" s="23"/>
      <c r="F152" s="23"/>
      <c r="G152" s="23"/>
      <c r="H152" s="23"/>
      <c r="I152" s="28"/>
      <c r="J152" s="28"/>
      <c r="K152" s="28"/>
      <c r="L152" s="28"/>
      <c r="M152" s="16"/>
      <c r="N152" s="16"/>
      <c r="O152" s="16"/>
      <c r="P152" s="14" t="str">
        <f aca="false">IF(COUNT(M152:O152)=3,M152*N152*O152,"")</f>
        <v/>
      </c>
      <c r="Q152" s="24" t="str">
        <f aca="false">IF(P152="","",IF(P152&gt;=48,"Tier 1",IF(P152&gt;=20,"Tier 2","Tier 3")))</f>
        <v/>
      </c>
      <c r="R152" s="23"/>
      <c r="S152" s="23"/>
      <c r="T152" s="23"/>
    </row>
    <row r="153" customFormat="false" ht="15" hidden="false" customHeight="false" outlineLevel="0" collapsed="false">
      <c r="A153" s="13" t="s">
        <v>779</v>
      </c>
      <c r="B153" s="23"/>
      <c r="C153" s="23"/>
      <c r="D153" s="23"/>
      <c r="E153" s="23"/>
      <c r="F153" s="23"/>
      <c r="G153" s="23"/>
      <c r="H153" s="23"/>
      <c r="I153" s="28"/>
      <c r="J153" s="28"/>
      <c r="K153" s="28"/>
      <c r="L153" s="28"/>
      <c r="M153" s="16"/>
      <c r="N153" s="16"/>
      <c r="O153" s="16"/>
      <c r="P153" s="14" t="str">
        <f aca="false">IF(COUNT(M153:O153)=3,M153*N153*O153,"")</f>
        <v/>
      </c>
      <c r="Q153" s="24" t="str">
        <f aca="false">IF(P153="","",IF(P153&gt;=48,"Tier 1",IF(P153&gt;=20,"Tier 2","Tier 3")))</f>
        <v/>
      </c>
      <c r="R153" s="23"/>
      <c r="S153" s="23"/>
      <c r="T153" s="23"/>
    </row>
    <row r="154" customFormat="false" ht="15" hidden="false" customHeight="false" outlineLevel="0" collapsed="false">
      <c r="A154" s="13" t="s">
        <v>780</v>
      </c>
      <c r="B154" s="23"/>
      <c r="C154" s="23"/>
      <c r="D154" s="23"/>
      <c r="E154" s="23"/>
      <c r="F154" s="23"/>
      <c r="G154" s="23"/>
      <c r="H154" s="23"/>
      <c r="I154" s="28"/>
      <c r="J154" s="28"/>
      <c r="K154" s="28"/>
      <c r="L154" s="28"/>
      <c r="M154" s="16"/>
      <c r="N154" s="16"/>
      <c r="O154" s="16"/>
      <c r="P154" s="14" t="str">
        <f aca="false">IF(COUNT(M154:O154)=3,M154*N154*O154,"")</f>
        <v/>
      </c>
      <c r="Q154" s="24" t="str">
        <f aca="false">IF(P154="","",IF(P154&gt;=48,"Tier 1",IF(P154&gt;=20,"Tier 2","Tier 3")))</f>
        <v/>
      </c>
      <c r="R154" s="23"/>
      <c r="S154" s="23"/>
      <c r="T154" s="23"/>
    </row>
    <row r="155" customFormat="false" ht="15" hidden="false" customHeight="false" outlineLevel="0" collapsed="false">
      <c r="A155" s="13" t="s">
        <v>781</v>
      </c>
      <c r="B155" s="23"/>
      <c r="C155" s="23"/>
      <c r="D155" s="23"/>
      <c r="E155" s="23"/>
      <c r="F155" s="23"/>
      <c r="G155" s="23"/>
      <c r="H155" s="23"/>
      <c r="I155" s="28"/>
      <c r="J155" s="28"/>
      <c r="K155" s="28"/>
      <c r="L155" s="28"/>
      <c r="M155" s="16"/>
      <c r="N155" s="16"/>
      <c r="O155" s="16"/>
      <c r="P155" s="14" t="str">
        <f aca="false">IF(COUNT(M155:O155)=3,M155*N155*O155,"")</f>
        <v/>
      </c>
      <c r="Q155" s="24" t="str">
        <f aca="false">IF(P155="","",IF(P155&gt;=48,"Tier 1",IF(P155&gt;=20,"Tier 2","Tier 3")))</f>
        <v/>
      </c>
      <c r="R155" s="23"/>
      <c r="S155" s="23"/>
      <c r="T155" s="23"/>
    </row>
    <row r="156" customFormat="false" ht="15" hidden="false" customHeight="false" outlineLevel="0" collapsed="false">
      <c r="A156" s="13" t="s">
        <v>782</v>
      </c>
      <c r="B156" s="23"/>
      <c r="C156" s="23"/>
      <c r="D156" s="23"/>
      <c r="E156" s="23"/>
      <c r="F156" s="23"/>
      <c r="G156" s="23"/>
      <c r="H156" s="23"/>
      <c r="I156" s="28"/>
      <c r="J156" s="28"/>
      <c r="K156" s="28"/>
      <c r="L156" s="28"/>
      <c r="M156" s="16"/>
      <c r="N156" s="16"/>
      <c r="O156" s="16"/>
      <c r="P156" s="14" t="str">
        <f aca="false">IF(COUNT(M156:O156)=3,M156*N156*O156,"")</f>
        <v/>
      </c>
      <c r="Q156" s="24" t="str">
        <f aca="false">IF(P156="","",IF(P156&gt;=48,"Tier 1",IF(P156&gt;=20,"Tier 2","Tier 3")))</f>
        <v/>
      </c>
      <c r="R156" s="23"/>
      <c r="S156" s="23"/>
      <c r="T156" s="23"/>
    </row>
    <row r="157" customFormat="false" ht="15" hidden="false" customHeight="false" outlineLevel="0" collapsed="false">
      <c r="A157" s="13" t="s">
        <v>783</v>
      </c>
      <c r="B157" s="23"/>
      <c r="C157" s="23"/>
      <c r="D157" s="23"/>
      <c r="E157" s="23"/>
      <c r="F157" s="23"/>
      <c r="G157" s="23"/>
      <c r="H157" s="23"/>
      <c r="I157" s="28"/>
      <c r="J157" s="28"/>
      <c r="K157" s="28"/>
      <c r="L157" s="28"/>
      <c r="M157" s="16"/>
      <c r="N157" s="16"/>
      <c r="O157" s="16"/>
      <c r="P157" s="14" t="str">
        <f aca="false">IF(COUNT(M157:O157)=3,M157*N157*O157,"")</f>
        <v/>
      </c>
      <c r="Q157" s="24" t="str">
        <f aca="false">IF(P157="","",IF(P157&gt;=48,"Tier 1",IF(P157&gt;=20,"Tier 2","Tier 3")))</f>
        <v/>
      </c>
      <c r="R157" s="23"/>
      <c r="S157" s="23"/>
      <c r="T157" s="23"/>
    </row>
    <row r="158" customFormat="false" ht="15" hidden="false" customHeight="false" outlineLevel="0" collapsed="false">
      <c r="A158" s="13" t="s">
        <v>784</v>
      </c>
      <c r="B158" s="23"/>
      <c r="C158" s="23"/>
      <c r="D158" s="23"/>
      <c r="E158" s="23"/>
      <c r="F158" s="23"/>
      <c r="G158" s="23"/>
      <c r="H158" s="23"/>
      <c r="I158" s="28"/>
      <c r="J158" s="28"/>
      <c r="K158" s="28"/>
      <c r="L158" s="28"/>
      <c r="M158" s="16"/>
      <c r="N158" s="16"/>
      <c r="O158" s="16"/>
      <c r="P158" s="14" t="str">
        <f aca="false">IF(COUNT(M158:O158)=3,M158*N158*O158,"")</f>
        <v/>
      </c>
      <c r="Q158" s="24" t="str">
        <f aca="false">IF(P158="","",IF(P158&gt;=48,"Tier 1",IF(P158&gt;=20,"Tier 2","Tier 3")))</f>
        <v/>
      </c>
      <c r="R158" s="23"/>
      <c r="S158" s="23"/>
      <c r="T158" s="23"/>
    </row>
    <row r="159" customFormat="false" ht="15" hidden="false" customHeight="false" outlineLevel="0" collapsed="false">
      <c r="A159" s="13" t="s">
        <v>785</v>
      </c>
      <c r="B159" s="23"/>
      <c r="C159" s="23"/>
      <c r="D159" s="23"/>
      <c r="E159" s="23"/>
      <c r="F159" s="23"/>
      <c r="G159" s="23"/>
      <c r="H159" s="23"/>
      <c r="I159" s="28"/>
      <c r="J159" s="28"/>
      <c r="K159" s="28"/>
      <c r="L159" s="28"/>
      <c r="M159" s="16"/>
      <c r="N159" s="16"/>
      <c r="O159" s="16"/>
      <c r="P159" s="14" t="str">
        <f aca="false">IF(COUNT(M159:O159)=3,M159*N159*O159,"")</f>
        <v/>
      </c>
      <c r="Q159" s="24" t="str">
        <f aca="false">IF(P159="","",IF(P159&gt;=48,"Tier 1",IF(P159&gt;=20,"Tier 2","Tier 3")))</f>
        <v/>
      </c>
      <c r="R159" s="23"/>
      <c r="S159" s="23"/>
      <c r="T159" s="23"/>
    </row>
    <row r="160" customFormat="false" ht="15" hidden="false" customHeight="false" outlineLevel="0" collapsed="false">
      <c r="A160" s="13" t="s">
        <v>786</v>
      </c>
      <c r="B160" s="23"/>
      <c r="C160" s="23"/>
      <c r="D160" s="23"/>
      <c r="E160" s="23"/>
      <c r="F160" s="23"/>
      <c r="G160" s="23"/>
      <c r="H160" s="23"/>
      <c r="I160" s="28"/>
      <c r="J160" s="28"/>
      <c r="K160" s="28"/>
      <c r="L160" s="28"/>
      <c r="M160" s="16"/>
      <c r="N160" s="16"/>
      <c r="O160" s="16"/>
      <c r="P160" s="14" t="str">
        <f aca="false">IF(COUNT(M160:O160)=3,M160*N160*O160,"")</f>
        <v/>
      </c>
      <c r="Q160" s="24" t="str">
        <f aca="false">IF(P160="","",IF(P160&gt;=48,"Tier 1",IF(P160&gt;=20,"Tier 2","Tier 3")))</f>
        <v/>
      </c>
      <c r="R160" s="23"/>
      <c r="S160" s="23"/>
      <c r="T160" s="23"/>
    </row>
    <row r="161" customFormat="false" ht="15" hidden="false" customHeight="false" outlineLevel="0" collapsed="false">
      <c r="A161" s="13" t="s">
        <v>787</v>
      </c>
      <c r="B161" s="23"/>
      <c r="C161" s="23"/>
      <c r="D161" s="23"/>
      <c r="E161" s="23"/>
      <c r="F161" s="23"/>
      <c r="G161" s="23"/>
      <c r="H161" s="23"/>
      <c r="I161" s="28"/>
      <c r="J161" s="28"/>
      <c r="K161" s="28"/>
      <c r="L161" s="28"/>
      <c r="M161" s="16"/>
      <c r="N161" s="16"/>
      <c r="O161" s="16"/>
      <c r="P161" s="14" t="str">
        <f aca="false">IF(COUNT(M161:O161)=3,M161*N161*O161,"")</f>
        <v/>
      </c>
      <c r="Q161" s="24" t="str">
        <f aca="false">IF(P161="","",IF(P161&gt;=48,"Tier 1",IF(P161&gt;=20,"Tier 2","Tier 3")))</f>
        <v/>
      </c>
      <c r="R161" s="23"/>
      <c r="S161" s="23"/>
      <c r="T161" s="23"/>
    </row>
    <row r="162" customFormat="false" ht="15" hidden="false" customHeight="false" outlineLevel="0" collapsed="false">
      <c r="A162" s="13" t="s">
        <v>788</v>
      </c>
      <c r="B162" s="23"/>
      <c r="C162" s="23"/>
      <c r="D162" s="23"/>
      <c r="E162" s="23"/>
      <c r="F162" s="23"/>
      <c r="G162" s="23"/>
      <c r="H162" s="23"/>
      <c r="I162" s="28"/>
      <c r="J162" s="28"/>
      <c r="K162" s="28"/>
      <c r="L162" s="28"/>
      <c r="M162" s="16"/>
      <c r="N162" s="16"/>
      <c r="O162" s="16"/>
      <c r="P162" s="14" t="str">
        <f aca="false">IF(COUNT(M162:O162)=3,M162*N162*O162,"")</f>
        <v/>
      </c>
      <c r="Q162" s="24" t="str">
        <f aca="false">IF(P162="","",IF(P162&gt;=48,"Tier 1",IF(P162&gt;=20,"Tier 2","Tier 3")))</f>
        <v/>
      </c>
      <c r="R162" s="23"/>
      <c r="S162" s="23"/>
      <c r="T162" s="23"/>
    </row>
    <row r="163" customFormat="false" ht="15" hidden="false" customHeight="false" outlineLevel="0" collapsed="false">
      <c r="A163" s="13" t="s">
        <v>789</v>
      </c>
      <c r="B163" s="23"/>
      <c r="C163" s="23"/>
      <c r="D163" s="23"/>
      <c r="E163" s="23"/>
      <c r="F163" s="23"/>
      <c r="G163" s="23"/>
      <c r="H163" s="23"/>
      <c r="I163" s="28"/>
      <c r="J163" s="28"/>
      <c r="K163" s="28"/>
      <c r="L163" s="28"/>
      <c r="M163" s="16"/>
      <c r="N163" s="16"/>
      <c r="O163" s="16"/>
      <c r="P163" s="14" t="str">
        <f aca="false">IF(COUNT(M163:O163)=3,M163*N163*O163,"")</f>
        <v/>
      </c>
      <c r="Q163" s="24" t="str">
        <f aca="false">IF(P163="","",IF(P163&gt;=48,"Tier 1",IF(P163&gt;=20,"Tier 2","Tier 3")))</f>
        <v/>
      </c>
      <c r="R163" s="23"/>
      <c r="S163" s="23"/>
      <c r="T163" s="23"/>
    </row>
    <row r="164" customFormat="false" ht="15" hidden="false" customHeight="false" outlineLevel="0" collapsed="false">
      <c r="A164" s="13" t="s">
        <v>790</v>
      </c>
      <c r="B164" s="23"/>
      <c r="C164" s="23"/>
      <c r="D164" s="23"/>
      <c r="E164" s="23"/>
      <c r="F164" s="23"/>
      <c r="G164" s="23"/>
      <c r="H164" s="23"/>
      <c r="I164" s="28"/>
      <c r="J164" s="28"/>
      <c r="K164" s="28"/>
      <c r="L164" s="28"/>
      <c r="M164" s="16"/>
      <c r="N164" s="16"/>
      <c r="O164" s="16"/>
      <c r="P164" s="14" t="str">
        <f aca="false">IF(COUNT(M164:O164)=3,M164*N164*O164,"")</f>
        <v/>
      </c>
      <c r="Q164" s="24" t="str">
        <f aca="false">IF(P164="","",IF(P164&gt;=48,"Tier 1",IF(P164&gt;=20,"Tier 2","Tier 3")))</f>
        <v/>
      </c>
      <c r="R164" s="23"/>
      <c r="S164" s="23"/>
      <c r="T164" s="23"/>
    </row>
    <row r="165" customFormat="false" ht="15" hidden="false" customHeight="false" outlineLevel="0" collapsed="false">
      <c r="A165" s="13" t="s">
        <v>791</v>
      </c>
      <c r="B165" s="23"/>
      <c r="C165" s="23"/>
      <c r="D165" s="23"/>
      <c r="E165" s="23"/>
      <c r="F165" s="23"/>
      <c r="G165" s="23"/>
      <c r="H165" s="23"/>
      <c r="I165" s="28"/>
      <c r="J165" s="28"/>
      <c r="K165" s="28"/>
      <c r="L165" s="28"/>
      <c r="M165" s="16"/>
      <c r="N165" s="16"/>
      <c r="O165" s="16"/>
      <c r="P165" s="14" t="str">
        <f aca="false">IF(COUNT(M165:O165)=3,M165*N165*O165,"")</f>
        <v/>
      </c>
      <c r="Q165" s="24" t="str">
        <f aca="false">IF(P165="","",IF(P165&gt;=48,"Tier 1",IF(P165&gt;=20,"Tier 2","Tier 3")))</f>
        <v/>
      </c>
      <c r="R165" s="23"/>
      <c r="S165" s="23"/>
      <c r="T165" s="23"/>
    </row>
    <row r="166" customFormat="false" ht="15" hidden="false" customHeight="false" outlineLevel="0" collapsed="false">
      <c r="A166" s="13" t="s">
        <v>792</v>
      </c>
      <c r="B166" s="23"/>
      <c r="C166" s="23"/>
      <c r="D166" s="23"/>
      <c r="E166" s="23"/>
      <c r="F166" s="23"/>
      <c r="G166" s="23"/>
      <c r="H166" s="23"/>
      <c r="I166" s="28"/>
      <c r="J166" s="28"/>
      <c r="K166" s="28"/>
      <c r="L166" s="28"/>
      <c r="M166" s="16"/>
      <c r="N166" s="16"/>
      <c r="O166" s="16"/>
      <c r="P166" s="14" t="str">
        <f aca="false">IF(COUNT(M166:O166)=3,M166*N166*O166,"")</f>
        <v/>
      </c>
      <c r="Q166" s="24" t="str">
        <f aca="false">IF(P166="","",IF(P166&gt;=48,"Tier 1",IF(P166&gt;=20,"Tier 2","Tier 3")))</f>
        <v/>
      </c>
      <c r="R166" s="23"/>
      <c r="S166" s="23"/>
      <c r="T166" s="23"/>
    </row>
    <row r="167" customFormat="false" ht="15" hidden="false" customHeight="false" outlineLevel="0" collapsed="false">
      <c r="A167" s="13" t="s">
        <v>793</v>
      </c>
      <c r="B167" s="23"/>
      <c r="C167" s="23"/>
      <c r="D167" s="23"/>
      <c r="E167" s="23"/>
      <c r="F167" s="23"/>
      <c r="G167" s="23"/>
      <c r="H167" s="23"/>
      <c r="I167" s="28"/>
      <c r="J167" s="28"/>
      <c r="K167" s="28"/>
      <c r="L167" s="28"/>
      <c r="M167" s="16"/>
      <c r="N167" s="16"/>
      <c r="O167" s="16"/>
      <c r="P167" s="14" t="str">
        <f aca="false">IF(COUNT(M167:O167)=3,M167*N167*O167,"")</f>
        <v/>
      </c>
      <c r="Q167" s="24" t="str">
        <f aca="false">IF(P167="","",IF(P167&gt;=48,"Tier 1",IF(P167&gt;=20,"Tier 2","Tier 3")))</f>
        <v/>
      </c>
      <c r="R167" s="23"/>
      <c r="S167" s="23"/>
      <c r="T167" s="23"/>
    </row>
    <row r="168" customFormat="false" ht="15" hidden="false" customHeight="false" outlineLevel="0" collapsed="false">
      <c r="A168" s="13" t="s">
        <v>794</v>
      </c>
      <c r="B168" s="23"/>
      <c r="C168" s="23"/>
      <c r="D168" s="23"/>
      <c r="E168" s="23"/>
      <c r="F168" s="23"/>
      <c r="G168" s="23"/>
      <c r="H168" s="23"/>
      <c r="I168" s="28"/>
      <c r="J168" s="28"/>
      <c r="K168" s="28"/>
      <c r="L168" s="28"/>
      <c r="M168" s="16"/>
      <c r="N168" s="16"/>
      <c r="O168" s="16"/>
      <c r="P168" s="14" t="str">
        <f aca="false">IF(COUNT(M168:O168)=3,M168*N168*O168,"")</f>
        <v/>
      </c>
      <c r="Q168" s="24" t="str">
        <f aca="false">IF(P168="","",IF(P168&gt;=48,"Tier 1",IF(P168&gt;=20,"Tier 2","Tier 3")))</f>
        <v/>
      </c>
      <c r="R168" s="23"/>
      <c r="S168" s="23"/>
      <c r="T168" s="23"/>
    </row>
    <row r="169" customFormat="false" ht="15" hidden="false" customHeight="false" outlineLevel="0" collapsed="false">
      <c r="A169" s="13" t="s">
        <v>795</v>
      </c>
      <c r="B169" s="23"/>
      <c r="C169" s="23"/>
      <c r="D169" s="23"/>
      <c r="E169" s="23"/>
      <c r="F169" s="23"/>
      <c r="G169" s="23"/>
      <c r="H169" s="23"/>
      <c r="I169" s="28"/>
      <c r="J169" s="28"/>
      <c r="K169" s="28"/>
      <c r="L169" s="28"/>
      <c r="M169" s="16"/>
      <c r="N169" s="16"/>
      <c r="O169" s="16"/>
      <c r="P169" s="14" t="str">
        <f aca="false">IF(COUNT(M169:O169)=3,M169*N169*O169,"")</f>
        <v/>
      </c>
      <c r="Q169" s="24" t="str">
        <f aca="false">IF(P169="","",IF(P169&gt;=48,"Tier 1",IF(P169&gt;=20,"Tier 2","Tier 3")))</f>
        <v/>
      </c>
      <c r="R169" s="23"/>
      <c r="S169" s="23"/>
      <c r="T169" s="23"/>
    </row>
    <row r="170" customFormat="false" ht="15" hidden="false" customHeight="false" outlineLevel="0" collapsed="false">
      <c r="A170" s="13" t="s">
        <v>796</v>
      </c>
      <c r="B170" s="23"/>
      <c r="C170" s="23"/>
      <c r="D170" s="23"/>
      <c r="E170" s="23"/>
      <c r="F170" s="23"/>
      <c r="G170" s="23"/>
      <c r="H170" s="23"/>
      <c r="I170" s="28"/>
      <c r="J170" s="28"/>
      <c r="K170" s="28"/>
      <c r="L170" s="28"/>
      <c r="M170" s="16"/>
      <c r="N170" s="16"/>
      <c r="O170" s="16"/>
      <c r="P170" s="14" t="str">
        <f aca="false">IF(COUNT(M170:O170)=3,M170*N170*O170,"")</f>
        <v/>
      </c>
      <c r="Q170" s="24" t="str">
        <f aca="false">IF(P170="","",IF(P170&gt;=48,"Tier 1",IF(P170&gt;=20,"Tier 2","Tier 3")))</f>
        <v/>
      </c>
      <c r="R170" s="23"/>
      <c r="S170" s="23"/>
      <c r="T170" s="23"/>
    </row>
    <row r="171" customFormat="false" ht="15" hidden="false" customHeight="false" outlineLevel="0" collapsed="false">
      <c r="A171" s="13" t="s">
        <v>797</v>
      </c>
      <c r="B171" s="23"/>
      <c r="C171" s="23"/>
      <c r="D171" s="23"/>
      <c r="E171" s="23"/>
      <c r="F171" s="23"/>
      <c r="G171" s="23"/>
      <c r="H171" s="23"/>
      <c r="I171" s="28"/>
      <c r="J171" s="28"/>
      <c r="K171" s="28"/>
      <c r="L171" s="28"/>
      <c r="M171" s="16"/>
      <c r="N171" s="16"/>
      <c r="O171" s="16"/>
      <c r="P171" s="14" t="str">
        <f aca="false">IF(COUNT(M171:O171)=3,M171*N171*O171,"")</f>
        <v/>
      </c>
      <c r="Q171" s="24" t="str">
        <f aca="false">IF(P171="","",IF(P171&gt;=48,"Tier 1",IF(P171&gt;=20,"Tier 2","Tier 3")))</f>
        <v/>
      </c>
      <c r="R171" s="23"/>
      <c r="S171" s="23"/>
      <c r="T171" s="23"/>
    </row>
    <row r="172" customFormat="false" ht="15" hidden="false" customHeight="false" outlineLevel="0" collapsed="false">
      <c r="A172" s="13" t="s">
        <v>798</v>
      </c>
      <c r="B172" s="23"/>
      <c r="C172" s="23"/>
      <c r="D172" s="23"/>
      <c r="E172" s="23"/>
      <c r="F172" s="23"/>
      <c r="G172" s="23"/>
      <c r="H172" s="23"/>
      <c r="I172" s="28"/>
      <c r="J172" s="28"/>
      <c r="K172" s="28"/>
      <c r="L172" s="28"/>
      <c r="M172" s="16"/>
      <c r="N172" s="16"/>
      <c r="O172" s="16"/>
      <c r="P172" s="14" t="str">
        <f aca="false">IF(COUNT(M172:O172)=3,M172*N172*O172,"")</f>
        <v/>
      </c>
      <c r="Q172" s="24" t="str">
        <f aca="false">IF(P172="","",IF(P172&gt;=48,"Tier 1",IF(P172&gt;=20,"Tier 2","Tier 3")))</f>
        <v/>
      </c>
      <c r="R172" s="23"/>
      <c r="S172" s="23"/>
      <c r="T172" s="23"/>
    </row>
    <row r="173" customFormat="false" ht="15" hidden="false" customHeight="false" outlineLevel="0" collapsed="false">
      <c r="A173" s="13" t="s">
        <v>799</v>
      </c>
      <c r="B173" s="23"/>
      <c r="C173" s="23"/>
      <c r="D173" s="23"/>
      <c r="E173" s="23"/>
      <c r="F173" s="23"/>
      <c r="G173" s="23"/>
      <c r="H173" s="23"/>
      <c r="I173" s="28"/>
      <c r="J173" s="28"/>
      <c r="K173" s="28"/>
      <c r="L173" s="28"/>
      <c r="M173" s="16"/>
      <c r="N173" s="16"/>
      <c r="O173" s="16"/>
      <c r="P173" s="14" t="str">
        <f aca="false">IF(COUNT(M173:O173)=3,M173*N173*O173,"")</f>
        <v/>
      </c>
      <c r="Q173" s="24" t="str">
        <f aca="false">IF(P173="","",IF(P173&gt;=48,"Tier 1",IF(P173&gt;=20,"Tier 2","Tier 3")))</f>
        <v/>
      </c>
      <c r="R173" s="23"/>
      <c r="S173" s="23"/>
      <c r="T173" s="23"/>
    </row>
  </sheetData>
  <conditionalFormatting sqref="Q6:Q173">
    <cfRule type="cellIs" priority="2" operator="equal" aboveAverage="0" equalAverage="0" bottom="0" percent="0" rank="0" text="" dxfId="7">
      <formula>"Tier 1"</formula>
    </cfRule>
    <cfRule type="cellIs" priority="3" operator="equal" aboveAverage="0" equalAverage="0" bottom="0" percent="0" rank="0" text="" dxfId="10">
      <formula>"Tier 2"</formula>
    </cfRule>
    <cfRule type="cellIs" priority="4" operator="equal" aboveAverage="0" equalAverage="0" bottom="0" percent="0" rank="0" text="" dxfId="11">
      <formula>"Tier 3"</formula>
    </cfRule>
  </conditionalFormatting>
  <dataValidations count="5">
    <dataValidation allowBlank="true" errorStyle="stop" operator="between" showDropDown="false" showErrorMessage="false" showInputMessage="false" sqref="M6:O173" type="whole">
      <formula1>1</formula1>
      <formula2>5</formula2>
    </dataValidation>
    <dataValidation allowBlank="true" errorStyle="stop" operator="between" showDropDown="false" showErrorMessage="false" showInputMessage="false" sqref="E6:E173" type="list">
      <formula1>"BTP IS,CIG,SOA,DataStage,Direct RFC,File / SFTP,Other"</formula1>
      <formula2>0</formula2>
    </dataValidation>
    <dataValidation allowBlank="true" errorStyle="stop" operator="between" showDropDown="false" showErrorMessage="false" showInputMessage="false" sqref="F6:F173" type="list">
      <formula1>"Sync,Async,Batch file,Event"</formula1>
      <formula2>0</formula2>
    </dataValidation>
    <dataValidation allowBlank="true" errorStyle="stop" operator="between" showDropDown="false" showErrorMessage="false" showInputMessage="false" sqref="G6:G173" type="list">
      <formula1>"BE,EO,EOIO,n/a"</formula1>
      <formula2>0</formula2>
    </dataValidation>
    <dataValidation allowBlank="true" errorStyle="stop" operator="between" showDropDown="false" showErrorMessage="false" showInputMessage="false" sqref="S6:S173" type="list">
      <formula1>"Yes,No,Decide"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5659"/>
    <pageSetUpPr fitToPage="true"/>
  </sheetPr>
  <dimension ref="A1:O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4" min="13" style="0" width="11"/>
    <col collapsed="false" customWidth="true" hidden="false" outlineLevel="0" max="15" min="15" style="0" width="14"/>
  </cols>
  <sheetData>
    <row r="1" customFormat="false" ht="19.7" hidden="false" customHeight="false" outlineLevel="0" collapsed="false">
      <c r="A1" s="1" t="s">
        <v>800</v>
      </c>
    </row>
    <row r="2" customFormat="false" ht="15" hidden="false" customHeight="false" outlineLevel="0" collapsed="false">
      <c r="A2" s="2" t="s">
        <v>801</v>
      </c>
    </row>
    <row r="4" customFormat="false" ht="31.5" hidden="false" customHeight="true" outlineLevel="0" collapsed="false">
      <c r="A4" s="8" t="s">
        <v>40</v>
      </c>
      <c r="B4" s="8" t="s">
        <v>802</v>
      </c>
      <c r="C4" s="8" t="s">
        <v>803</v>
      </c>
      <c r="D4" s="8" t="s">
        <v>804</v>
      </c>
      <c r="E4" s="8" t="s">
        <v>613</v>
      </c>
      <c r="F4" s="8" t="s">
        <v>805</v>
      </c>
      <c r="G4" s="8" t="s">
        <v>806</v>
      </c>
      <c r="H4" s="8" t="s">
        <v>807</v>
      </c>
      <c r="I4" s="8" t="s">
        <v>808</v>
      </c>
      <c r="J4" s="8" t="s">
        <v>809</v>
      </c>
      <c r="K4" s="8" t="s">
        <v>810</v>
      </c>
      <c r="L4" s="8" t="s">
        <v>811</v>
      </c>
      <c r="M4" s="8" t="s">
        <v>812</v>
      </c>
      <c r="N4" s="8" t="s">
        <v>515</v>
      </c>
      <c r="O4" s="8" t="s">
        <v>622</v>
      </c>
    </row>
    <row r="5" customFormat="false" ht="15" hidden="false" customHeight="false" outlineLevel="0" collapsed="false">
      <c r="A5" s="13" t="s">
        <v>813</v>
      </c>
      <c r="B5" s="23"/>
      <c r="C5" s="23"/>
      <c r="D5" s="23"/>
      <c r="E5" s="23"/>
      <c r="F5" s="43"/>
      <c r="G5" s="43"/>
      <c r="H5" s="44" t="str">
        <f aca="false">IF(OR(F5="",G5=""),"",ROUND(MOD(G5-F5,1)*1440,0))</f>
        <v/>
      </c>
      <c r="I5" s="28"/>
      <c r="J5" s="28"/>
      <c r="K5" s="23"/>
      <c r="L5" s="23"/>
      <c r="M5" s="45" t="str">
        <f aca="false">IF(OR(H5="",J5=""),"",1-J5/H5)</f>
        <v/>
      </c>
      <c r="N5" s="24" t="str">
        <f aca="false">IF(M5="","",IF(M5&gt;=0.2,"PASS",IF(M5&gt;=0,"MARGINAL","FAIL")))</f>
        <v/>
      </c>
      <c r="O5" s="23"/>
    </row>
    <row r="6" customFormat="false" ht="15" hidden="false" customHeight="false" outlineLevel="0" collapsed="false">
      <c r="A6" s="13" t="s">
        <v>814</v>
      </c>
      <c r="B6" s="23"/>
      <c r="C6" s="23"/>
      <c r="D6" s="23"/>
      <c r="E6" s="23"/>
      <c r="F6" s="43"/>
      <c r="G6" s="43"/>
      <c r="H6" s="44" t="str">
        <f aca="false">IF(OR(F6="",G6=""),"",ROUND(MOD(G6-F6,1)*1440,0))</f>
        <v/>
      </c>
      <c r="I6" s="28"/>
      <c r="J6" s="28"/>
      <c r="K6" s="23"/>
      <c r="L6" s="23"/>
      <c r="M6" s="45" t="str">
        <f aca="false">IF(OR(H6="",J6=""),"",1-J6/H6)</f>
        <v/>
      </c>
      <c r="N6" s="24" t="str">
        <f aca="false">IF(M6="","",IF(M6&gt;=0.2,"PASS",IF(M6&gt;=0,"MARGINAL","FAIL")))</f>
        <v/>
      </c>
      <c r="O6" s="23"/>
    </row>
    <row r="7" customFormat="false" ht="15" hidden="false" customHeight="false" outlineLevel="0" collapsed="false">
      <c r="A7" s="13" t="s">
        <v>815</v>
      </c>
      <c r="B7" s="23"/>
      <c r="C7" s="23"/>
      <c r="D7" s="23"/>
      <c r="E7" s="23"/>
      <c r="F7" s="43"/>
      <c r="G7" s="43"/>
      <c r="H7" s="44" t="str">
        <f aca="false">IF(OR(F7="",G7=""),"",ROUND(MOD(G7-F7,1)*1440,0))</f>
        <v/>
      </c>
      <c r="I7" s="28"/>
      <c r="J7" s="28"/>
      <c r="K7" s="23"/>
      <c r="L7" s="23"/>
      <c r="M7" s="45" t="str">
        <f aca="false">IF(OR(H7="",J7=""),"",1-J7/H7)</f>
        <v/>
      </c>
      <c r="N7" s="24" t="str">
        <f aca="false">IF(M7="","",IF(M7&gt;=0.2,"PASS",IF(M7&gt;=0,"MARGINAL","FAIL")))</f>
        <v/>
      </c>
      <c r="O7" s="23"/>
    </row>
    <row r="8" customFormat="false" ht="15" hidden="false" customHeight="false" outlineLevel="0" collapsed="false">
      <c r="A8" s="13" t="s">
        <v>816</v>
      </c>
      <c r="B8" s="23"/>
      <c r="C8" s="23"/>
      <c r="D8" s="23"/>
      <c r="E8" s="23"/>
      <c r="F8" s="43"/>
      <c r="G8" s="43"/>
      <c r="H8" s="44" t="str">
        <f aca="false">IF(OR(F8="",G8=""),"",ROUND(MOD(G8-F8,1)*1440,0))</f>
        <v/>
      </c>
      <c r="I8" s="28"/>
      <c r="J8" s="28"/>
      <c r="K8" s="23"/>
      <c r="L8" s="23"/>
      <c r="M8" s="45" t="str">
        <f aca="false">IF(OR(H8="",J8=""),"",1-J8/H8)</f>
        <v/>
      </c>
      <c r="N8" s="24" t="str">
        <f aca="false">IF(M8="","",IF(M8&gt;=0.2,"PASS",IF(M8&gt;=0,"MARGINAL","FAIL")))</f>
        <v/>
      </c>
      <c r="O8" s="23"/>
    </row>
    <row r="9" customFormat="false" ht="15" hidden="false" customHeight="false" outlineLevel="0" collapsed="false">
      <c r="A9" s="13" t="s">
        <v>817</v>
      </c>
      <c r="B9" s="23"/>
      <c r="C9" s="23"/>
      <c r="D9" s="23"/>
      <c r="E9" s="23"/>
      <c r="F9" s="43"/>
      <c r="G9" s="43"/>
      <c r="H9" s="44" t="str">
        <f aca="false">IF(OR(F9="",G9=""),"",ROUND(MOD(G9-F9,1)*1440,0))</f>
        <v/>
      </c>
      <c r="I9" s="28"/>
      <c r="J9" s="28"/>
      <c r="K9" s="23"/>
      <c r="L9" s="23"/>
      <c r="M9" s="45" t="str">
        <f aca="false">IF(OR(H9="",J9=""),"",1-J9/H9)</f>
        <v/>
      </c>
      <c r="N9" s="24" t="str">
        <f aca="false">IF(M9="","",IF(M9&gt;=0.2,"PASS",IF(M9&gt;=0,"MARGINAL","FAIL")))</f>
        <v/>
      </c>
      <c r="O9" s="23"/>
    </row>
    <row r="10" customFormat="false" ht="15" hidden="false" customHeight="false" outlineLevel="0" collapsed="false">
      <c r="A10" s="13" t="s">
        <v>818</v>
      </c>
      <c r="B10" s="23"/>
      <c r="C10" s="23"/>
      <c r="D10" s="23"/>
      <c r="E10" s="23"/>
      <c r="F10" s="43"/>
      <c r="G10" s="43"/>
      <c r="H10" s="44" t="str">
        <f aca="false">IF(OR(F10="",G10=""),"",ROUND(MOD(G10-F10,1)*1440,0))</f>
        <v/>
      </c>
      <c r="I10" s="28"/>
      <c r="J10" s="28"/>
      <c r="K10" s="23"/>
      <c r="L10" s="23"/>
      <c r="M10" s="45" t="str">
        <f aca="false">IF(OR(H10="",J10=""),"",1-J10/H10)</f>
        <v/>
      </c>
      <c r="N10" s="24" t="str">
        <f aca="false">IF(M10="","",IF(M10&gt;=0.2,"PASS",IF(M10&gt;=0,"MARGINAL","FAIL")))</f>
        <v/>
      </c>
      <c r="O10" s="23"/>
    </row>
    <row r="11" customFormat="false" ht="15" hidden="false" customHeight="false" outlineLevel="0" collapsed="false">
      <c r="A11" s="13" t="s">
        <v>819</v>
      </c>
      <c r="B11" s="23"/>
      <c r="C11" s="23"/>
      <c r="D11" s="23"/>
      <c r="E11" s="23"/>
      <c r="F11" s="43"/>
      <c r="G11" s="43"/>
      <c r="H11" s="44" t="str">
        <f aca="false">IF(OR(F11="",G11=""),"",ROUND(MOD(G11-F11,1)*1440,0))</f>
        <v/>
      </c>
      <c r="I11" s="28"/>
      <c r="J11" s="28"/>
      <c r="K11" s="23"/>
      <c r="L11" s="23"/>
      <c r="M11" s="45" t="str">
        <f aca="false">IF(OR(H11="",J11=""),"",1-J11/H11)</f>
        <v/>
      </c>
      <c r="N11" s="24" t="str">
        <f aca="false">IF(M11="","",IF(M11&gt;=0.2,"PASS",IF(M11&gt;=0,"MARGINAL","FAIL")))</f>
        <v/>
      </c>
      <c r="O11" s="23"/>
    </row>
    <row r="12" customFormat="false" ht="15" hidden="false" customHeight="false" outlineLevel="0" collapsed="false">
      <c r="A12" s="13" t="s">
        <v>820</v>
      </c>
      <c r="B12" s="23"/>
      <c r="C12" s="23"/>
      <c r="D12" s="23"/>
      <c r="E12" s="23"/>
      <c r="F12" s="43"/>
      <c r="G12" s="43"/>
      <c r="H12" s="44" t="str">
        <f aca="false">IF(OR(F12="",G12=""),"",ROUND(MOD(G12-F12,1)*1440,0))</f>
        <v/>
      </c>
      <c r="I12" s="28"/>
      <c r="J12" s="28"/>
      <c r="K12" s="23"/>
      <c r="L12" s="23"/>
      <c r="M12" s="45" t="str">
        <f aca="false">IF(OR(H12="",J12=""),"",1-J12/H12)</f>
        <v/>
      </c>
      <c r="N12" s="24" t="str">
        <f aca="false">IF(M12="","",IF(M12&gt;=0.2,"PASS",IF(M12&gt;=0,"MARGINAL","FAIL")))</f>
        <v/>
      </c>
      <c r="O12" s="23"/>
    </row>
    <row r="13" customFormat="false" ht="15" hidden="false" customHeight="false" outlineLevel="0" collapsed="false">
      <c r="A13" s="13" t="s">
        <v>821</v>
      </c>
      <c r="B13" s="23"/>
      <c r="C13" s="23"/>
      <c r="D13" s="23"/>
      <c r="E13" s="23"/>
      <c r="F13" s="43"/>
      <c r="G13" s="43"/>
      <c r="H13" s="44" t="str">
        <f aca="false">IF(OR(F13="",G13=""),"",ROUND(MOD(G13-F13,1)*1440,0))</f>
        <v/>
      </c>
      <c r="I13" s="28"/>
      <c r="J13" s="28"/>
      <c r="K13" s="23"/>
      <c r="L13" s="23"/>
      <c r="M13" s="45" t="str">
        <f aca="false">IF(OR(H13="",J13=""),"",1-J13/H13)</f>
        <v/>
      </c>
      <c r="N13" s="24" t="str">
        <f aca="false">IF(M13="","",IF(M13&gt;=0.2,"PASS",IF(M13&gt;=0,"MARGINAL","FAIL")))</f>
        <v/>
      </c>
      <c r="O13" s="23"/>
    </row>
    <row r="14" customFormat="false" ht="15" hidden="false" customHeight="false" outlineLevel="0" collapsed="false">
      <c r="A14" s="13" t="s">
        <v>822</v>
      </c>
      <c r="B14" s="23"/>
      <c r="C14" s="23"/>
      <c r="D14" s="23"/>
      <c r="E14" s="23"/>
      <c r="F14" s="43"/>
      <c r="G14" s="43"/>
      <c r="H14" s="44" t="str">
        <f aca="false">IF(OR(F14="",G14=""),"",ROUND(MOD(G14-F14,1)*1440,0))</f>
        <v/>
      </c>
      <c r="I14" s="28"/>
      <c r="J14" s="28"/>
      <c r="K14" s="23"/>
      <c r="L14" s="23"/>
      <c r="M14" s="45" t="str">
        <f aca="false">IF(OR(H14="",J14=""),"",1-J14/H14)</f>
        <v/>
      </c>
      <c r="N14" s="24" t="str">
        <f aca="false">IF(M14="","",IF(M14&gt;=0.2,"PASS",IF(M14&gt;=0,"MARGINAL","FAIL")))</f>
        <v/>
      </c>
      <c r="O14" s="23"/>
    </row>
    <row r="15" customFormat="false" ht="15" hidden="false" customHeight="false" outlineLevel="0" collapsed="false">
      <c r="A15" s="13" t="s">
        <v>823</v>
      </c>
      <c r="B15" s="23"/>
      <c r="C15" s="23"/>
      <c r="D15" s="23"/>
      <c r="E15" s="23"/>
      <c r="F15" s="43"/>
      <c r="G15" s="43"/>
      <c r="H15" s="44" t="str">
        <f aca="false">IF(OR(F15="",G15=""),"",ROUND(MOD(G15-F15,1)*1440,0))</f>
        <v/>
      </c>
      <c r="I15" s="28"/>
      <c r="J15" s="28"/>
      <c r="K15" s="23"/>
      <c r="L15" s="23"/>
      <c r="M15" s="45" t="str">
        <f aca="false">IF(OR(H15="",J15=""),"",1-J15/H15)</f>
        <v/>
      </c>
      <c r="N15" s="24" t="str">
        <f aca="false">IF(M15="","",IF(M15&gt;=0.2,"PASS",IF(M15&gt;=0,"MARGINAL","FAIL")))</f>
        <v/>
      </c>
      <c r="O15" s="23"/>
    </row>
    <row r="16" customFormat="false" ht="15" hidden="false" customHeight="false" outlineLevel="0" collapsed="false">
      <c r="A16" s="13" t="s">
        <v>824</v>
      </c>
      <c r="B16" s="23"/>
      <c r="C16" s="23"/>
      <c r="D16" s="23"/>
      <c r="E16" s="23"/>
      <c r="F16" s="43"/>
      <c r="G16" s="43"/>
      <c r="H16" s="44" t="str">
        <f aca="false">IF(OR(F16="",G16=""),"",ROUND(MOD(G16-F16,1)*1440,0))</f>
        <v/>
      </c>
      <c r="I16" s="28"/>
      <c r="J16" s="28"/>
      <c r="K16" s="23"/>
      <c r="L16" s="23"/>
      <c r="M16" s="45" t="str">
        <f aca="false">IF(OR(H16="",J16=""),"",1-J16/H16)</f>
        <v/>
      </c>
      <c r="N16" s="24" t="str">
        <f aca="false">IF(M16="","",IF(M16&gt;=0.2,"PASS",IF(M16&gt;=0,"MARGINAL","FAIL")))</f>
        <v/>
      </c>
      <c r="O16" s="23"/>
    </row>
    <row r="17" customFormat="false" ht="15" hidden="false" customHeight="false" outlineLevel="0" collapsed="false">
      <c r="A17" s="13" t="s">
        <v>825</v>
      </c>
      <c r="B17" s="23"/>
      <c r="C17" s="23"/>
      <c r="D17" s="23"/>
      <c r="E17" s="23"/>
      <c r="F17" s="43"/>
      <c r="G17" s="43"/>
      <c r="H17" s="44" t="str">
        <f aca="false">IF(OR(F17="",G17=""),"",ROUND(MOD(G17-F17,1)*1440,0))</f>
        <v/>
      </c>
      <c r="I17" s="28"/>
      <c r="J17" s="28"/>
      <c r="K17" s="23"/>
      <c r="L17" s="23"/>
      <c r="M17" s="45" t="str">
        <f aca="false">IF(OR(H17="",J17=""),"",1-J17/H17)</f>
        <v/>
      </c>
      <c r="N17" s="24" t="str">
        <f aca="false">IF(M17="","",IF(M17&gt;=0.2,"PASS",IF(M17&gt;=0,"MARGINAL","FAIL")))</f>
        <v/>
      </c>
      <c r="O17" s="23"/>
    </row>
    <row r="18" customFormat="false" ht="15" hidden="false" customHeight="false" outlineLevel="0" collapsed="false">
      <c r="A18" s="13" t="s">
        <v>826</v>
      </c>
      <c r="B18" s="23"/>
      <c r="C18" s="23"/>
      <c r="D18" s="23"/>
      <c r="E18" s="23"/>
      <c r="F18" s="43"/>
      <c r="G18" s="43"/>
      <c r="H18" s="44" t="str">
        <f aca="false">IF(OR(F18="",G18=""),"",ROUND(MOD(G18-F18,1)*1440,0))</f>
        <v/>
      </c>
      <c r="I18" s="28"/>
      <c r="J18" s="28"/>
      <c r="K18" s="23"/>
      <c r="L18" s="23"/>
      <c r="M18" s="45" t="str">
        <f aca="false">IF(OR(H18="",J18=""),"",1-J18/H18)</f>
        <v/>
      </c>
      <c r="N18" s="24" t="str">
        <f aca="false">IF(M18="","",IF(M18&gt;=0.2,"PASS",IF(M18&gt;=0,"MARGINAL","FAIL")))</f>
        <v/>
      </c>
      <c r="O18" s="23"/>
    </row>
    <row r="19" customFormat="false" ht="15" hidden="false" customHeight="false" outlineLevel="0" collapsed="false">
      <c r="A19" s="13" t="s">
        <v>827</v>
      </c>
      <c r="B19" s="23"/>
      <c r="C19" s="23"/>
      <c r="D19" s="23"/>
      <c r="E19" s="23"/>
      <c r="F19" s="43"/>
      <c r="G19" s="43"/>
      <c r="H19" s="44" t="str">
        <f aca="false">IF(OR(F19="",G19=""),"",ROUND(MOD(G19-F19,1)*1440,0))</f>
        <v/>
      </c>
      <c r="I19" s="28"/>
      <c r="J19" s="28"/>
      <c r="K19" s="23"/>
      <c r="L19" s="23"/>
      <c r="M19" s="45" t="str">
        <f aca="false">IF(OR(H19="",J19=""),"",1-J19/H19)</f>
        <v/>
      </c>
      <c r="N19" s="24" t="str">
        <f aca="false">IF(M19="","",IF(M19&gt;=0.2,"PASS",IF(M19&gt;=0,"MARGINAL","FAIL")))</f>
        <v/>
      </c>
      <c r="O19" s="23"/>
    </row>
    <row r="20" customFormat="false" ht="15" hidden="false" customHeight="false" outlineLevel="0" collapsed="false">
      <c r="A20" s="13" t="s">
        <v>828</v>
      </c>
      <c r="B20" s="23"/>
      <c r="C20" s="23"/>
      <c r="D20" s="23"/>
      <c r="E20" s="23"/>
      <c r="F20" s="43"/>
      <c r="G20" s="43"/>
      <c r="H20" s="44" t="str">
        <f aca="false">IF(OR(F20="",G20=""),"",ROUND(MOD(G20-F20,1)*1440,0))</f>
        <v/>
      </c>
      <c r="I20" s="28"/>
      <c r="J20" s="28"/>
      <c r="K20" s="23"/>
      <c r="L20" s="23"/>
      <c r="M20" s="45" t="str">
        <f aca="false">IF(OR(H20="",J20=""),"",1-J20/H20)</f>
        <v/>
      </c>
      <c r="N20" s="24" t="str">
        <f aca="false">IF(M20="","",IF(M20&gt;=0.2,"PASS",IF(M20&gt;=0,"MARGINAL","FAIL")))</f>
        <v/>
      </c>
      <c r="O20" s="23"/>
    </row>
    <row r="21" customFormat="false" ht="15" hidden="false" customHeight="false" outlineLevel="0" collapsed="false">
      <c r="A21" s="13" t="s">
        <v>829</v>
      </c>
      <c r="B21" s="23"/>
      <c r="C21" s="23"/>
      <c r="D21" s="23"/>
      <c r="E21" s="23"/>
      <c r="F21" s="43"/>
      <c r="G21" s="43"/>
      <c r="H21" s="44" t="str">
        <f aca="false">IF(OR(F21="",G21=""),"",ROUND(MOD(G21-F21,1)*1440,0))</f>
        <v/>
      </c>
      <c r="I21" s="28"/>
      <c r="J21" s="28"/>
      <c r="K21" s="23"/>
      <c r="L21" s="23"/>
      <c r="M21" s="45" t="str">
        <f aca="false">IF(OR(H21="",J21=""),"",1-J21/H21)</f>
        <v/>
      </c>
      <c r="N21" s="24" t="str">
        <f aca="false">IF(M21="","",IF(M21&gt;=0.2,"PASS",IF(M21&gt;=0,"MARGINAL","FAIL")))</f>
        <v/>
      </c>
      <c r="O21" s="23"/>
    </row>
    <row r="22" customFormat="false" ht="15" hidden="false" customHeight="false" outlineLevel="0" collapsed="false">
      <c r="A22" s="13" t="s">
        <v>830</v>
      </c>
      <c r="B22" s="23"/>
      <c r="C22" s="23"/>
      <c r="D22" s="23"/>
      <c r="E22" s="23"/>
      <c r="F22" s="43"/>
      <c r="G22" s="43"/>
      <c r="H22" s="44" t="str">
        <f aca="false">IF(OR(F22="",G22=""),"",ROUND(MOD(G22-F22,1)*1440,0))</f>
        <v/>
      </c>
      <c r="I22" s="28"/>
      <c r="J22" s="28"/>
      <c r="K22" s="23"/>
      <c r="L22" s="23"/>
      <c r="M22" s="45" t="str">
        <f aca="false">IF(OR(H22="",J22=""),"",1-J22/H22)</f>
        <v/>
      </c>
      <c r="N22" s="24" t="str">
        <f aca="false">IF(M22="","",IF(M22&gt;=0.2,"PASS",IF(M22&gt;=0,"MARGINAL","FAIL")))</f>
        <v/>
      </c>
      <c r="O22" s="23"/>
    </row>
    <row r="23" customFormat="false" ht="15" hidden="false" customHeight="false" outlineLevel="0" collapsed="false">
      <c r="A23" s="13" t="s">
        <v>831</v>
      </c>
      <c r="B23" s="23"/>
      <c r="C23" s="23"/>
      <c r="D23" s="23"/>
      <c r="E23" s="23"/>
      <c r="F23" s="43"/>
      <c r="G23" s="43"/>
      <c r="H23" s="44" t="str">
        <f aca="false">IF(OR(F23="",G23=""),"",ROUND(MOD(G23-F23,1)*1440,0))</f>
        <v/>
      </c>
      <c r="I23" s="28"/>
      <c r="J23" s="28"/>
      <c r="K23" s="23"/>
      <c r="L23" s="23"/>
      <c r="M23" s="45" t="str">
        <f aca="false">IF(OR(H23="",J23=""),"",1-J23/H23)</f>
        <v/>
      </c>
      <c r="N23" s="24" t="str">
        <f aca="false">IF(M23="","",IF(M23&gt;=0.2,"PASS",IF(M23&gt;=0,"MARGINAL","FAIL")))</f>
        <v/>
      </c>
      <c r="O23" s="23"/>
    </row>
    <row r="24" customFormat="false" ht="15" hidden="false" customHeight="false" outlineLevel="0" collapsed="false">
      <c r="A24" s="13" t="s">
        <v>832</v>
      </c>
      <c r="B24" s="23"/>
      <c r="C24" s="23"/>
      <c r="D24" s="23"/>
      <c r="E24" s="23"/>
      <c r="F24" s="43"/>
      <c r="G24" s="43"/>
      <c r="H24" s="44" t="str">
        <f aca="false">IF(OR(F24="",G24=""),"",ROUND(MOD(G24-F24,1)*1440,0))</f>
        <v/>
      </c>
      <c r="I24" s="28"/>
      <c r="J24" s="28"/>
      <c r="K24" s="23"/>
      <c r="L24" s="23"/>
      <c r="M24" s="45" t="str">
        <f aca="false">IF(OR(H24="",J24=""),"",1-J24/H24)</f>
        <v/>
      </c>
      <c r="N24" s="24" t="str">
        <f aca="false">IF(M24="","",IF(M24&gt;=0.2,"PASS",IF(M24&gt;=0,"MARGINAL","FAIL")))</f>
        <v/>
      </c>
      <c r="O24" s="23"/>
    </row>
    <row r="25" customFormat="false" ht="15" hidden="false" customHeight="false" outlineLevel="0" collapsed="false">
      <c r="A25" s="13" t="s">
        <v>833</v>
      </c>
      <c r="B25" s="23"/>
      <c r="C25" s="23"/>
      <c r="D25" s="23"/>
      <c r="E25" s="23"/>
      <c r="F25" s="43"/>
      <c r="G25" s="43"/>
      <c r="H25" s="44" t="str">
        <f aca="false">IF(OR(F25="",G25=""),"",ROUND(MOD(G25-F25,1)*1440,0))</f>
        <v/>
      </c>
      <c r="I25" s="28"/>
      <c r="J25" s="28"/>
      <c r="K25" s="23"/>
      <c r="L25" s="23"/>
      <c r="M25" s="45" t="str">
        <f aca="false">IF(OR(H25="",J25=""),"",1-J25/H25)</f>
        <v/>
      </c>
      <c r="N25" s="24" t="str">
        <f aca="false">IF(M25="","",IF(M25&gt;=0.2,"PASS",IF(M25&gt;=0,"MARGINAL","FAIL")))</f>
        <v/>
      </c>
      <c r="O25" s="23"/>
    </row>
    <row r="26" customFormat="false" ht="15" hidden="false" customHeight="false" outlineLevel="0" collapsed="false">
      <c r="A26" s="13" t="s">
        <v>834</v>
      </c>
      <c r="B26" s="23"/>
      <c r="C26" s="23"/>
      <c r="D26" s="23"/>
      <c r="E26" s="23"/>
      <c r="F26" s="43"/>
      <c r="G26" s="43"/>
      <c r="H26" s="44" t="str">
        <f aca="false">IF(OR(F26="",G26=""),"",ROUND(MOD(G26-F26,1)*1440,0))</f>
        <v/>
      </c>
      <c r="I26" s="28"/>
      <c r="J26" s="28"/>
      <c r="K26" s="23"/>
      <c r="L26" s="23"/>
      <c r="M26" s="45" t="str">
        <f aca="false">IF(OR(H26="",J26=""),"",1-J26/H26)</f>
        <v/>
      </c>
      <c r="N26" s="24" t="str">
        <f aca="false">IF(M26="","",IF(M26&gt;=0.2,"PASS",IF(M26&gt;=0,"MARGINAL","FAIL")))</f>
        <v/>
      </c>
      <c r="O26" s="23"/>
    </row>
    <row r="27" customFormat="false" ht="15" hidden="false" customHeight="false" outlineLevel="0" collapsed="false">
      <c r="A27" s="13" t="s">
        <v>835</v>
      </c>
      <c r="B27" s="23"/>
      <c r="C27" s="23"/>
      <c r="D27" s="23"/>
      <c r="E27" s="23"/>
      <c r="F27" s="43"/>
      <c r="G27" s="43"/>
      <c r="H27" s="44" t="str">
        <f aca="false">IF(OR(F27="",G27=""),"",ROUND(MOD(G27-F27,1)*1440,0))</f>
        <v/>
      </c>
      <c r="I27" s="28"/>
      <c r="J27" s="28"/>
      <c r="K27" s="23"/>
      <c r="L27" s="23"/>
      <c r="M27" s="45" t="str">
        <f aca="false">IF(OR(H27="",J27=""),"",1-J27/H27)</f>
        <v/>
      </c>
      <c r="N27" s="24" t="str">
        <f aca="false">IF(M27="","",IF(M27&gt;=0.2,"PASS",IF(M27&gt;=0,"MARGINAL","FAIL")))</f>
        <v/>
      </c>
      <c r="O27" s="23"/>
    </row>
    <row r="28" customFormat="false" ht="15" hidden="false" customHeight="false" outlineLevel="0" collapsed="false">
      <c r="A28" s="13" t="s">
        <v>836</v>
      </c>
      <c r="B28" s="23"/>
      <c r="C28" s="23"/>
      <c r="D28" s="23"/>
      <c r="E28" s="23"/>
      <c r="F28" s="43"/>
      <c r="G28" s="43"/>
      <c r="H28" s="44" t="str">
        <f aca="false">IF(OR(F28="",G28=""),"",ROUND(MOD(G28-F28,1)*1440,0))</f>
        <v/>
      </c>
      <c r="I28" s="28"/>
      <c r="J28" s="28"/>
      <c r="K28" s="23"/>
      <c r="L28" s="23"/>
      <c r="M28" s="45" t="str">
        <f aca="false">IF(OR(H28="",J28=""),"",1-J28/H28)</f>
        <v/>
      </c>
      <c r="N28" s="24" t="str">
        <f aca="false">IF(M28="","",IF(M28&gt;=0.2,"PASS",IF(M28&gt;=0,"MARGINAL","FAIL")))</f>
        <v/>
      </c>
      <c r="O28" s="23"/>
    </row>
    <row r="29" customFormat="false" ht="15" hidden="false" customHeight="false" outlineLevel="0" collapsed="false">
      <c r="A29" s="13" t="s">
        <v>837</v>
      </c>
      <c r="B29" s="23"/>
      <c r="C29" s="23"/>
      <c r="D29" s="23"/>
      <c r="E29" s="23"/>
      <c r="F29" s="43"/>
      <c r="G29" s="43"/>
      <c r="H29" s="44" t="str">
        <f aca="false">IF(OR(F29="",G29=""),"",ROUND(MOD(G29-F29,1)*1440,0))</f>
        <v/>
      </c>
      <c r="I29" s="28"/>
      <c r="J29" s="28"/>
      <c r="K29" s="23"/>
      <c r="L29" s="23"/>
      <c r="M29" s="45" t="str">
        <f aca="false">IF(OR(H29="",J29=""),"",1-J29/H29)</f>
        <v/>
      </c>
      <c r="N29" s="24" t="str">
        <f aca="false">IF(M29="","",IF(M29&gt;=0.2,"PASS",IF(M29&gt;=0,"MARGINAL","FAIL")))</f>
        <v/>
      </c>
      <c r="O29" s="23"/>
    </row>
    <row r="30" customFormat="false" ht="15" hidden="false" customHeight="false" outlineLevel="0" collapsed="false">
      <c r="A30" s="13" t="s">
        <v>838</v>
      </c>
      <c r="B30" s="23"/>
      <c r="C30" s="23"/>
      <c r="D30" s="23"/>
      <c r="E30" s="23"/>
      <c r="F30" s="43"/>
      <c r="G30" s="43"/>
      <c r="H30" s="44" t="str">
        <f aca="false">IF(OR(F30="",G30=""),"",ROUND(MOD(G30-F30,1)*1440,0))</f>
        <v/>
      </c>
      <c r="I30" s="28"/>
      <c r="J30" s="28"/>
      <c r="K30" s="23"/>
      <c r="L30" s="23"/>
      <c r="M30" s="45" t="str">
        <f aca="false">IF(OR(H30="",J30=""),"",1-J30/H30)</f>
        <v/>
      </c>
      <c r="N30" s="24" t="str">
        <f aca="false">IF(M30="","",IF(M30&gt;=0.2,"PASS",IF(M30&gt;=0,"MARGINAL","FAIL")))</f>
        <v/>
      </c>
      <c r="O30" s="23"/>
    </row>
    <row r="31" customFormat="false" ht="15" hidden="false" customHeight="false" outlineLevel="0" collapsed="false">
      <c r="A31" s="13" t="s">
        <v>839</v>
      </c>
      <c r="B31" s="23"/>
      <c r="C31" s="23"/>
      <c r="D31" s="23"/>
      <c r="E31" s="23"/>
      <c r="F31" s="43"/>
      <c r="G31" s="43"/>
      <c r="H31" s="44" t="str">
        <f aca="false">IF(OR(F31="",G31=""),"",ROUND(MOD(G31-F31,1)*1440,0))</f>
        <v/>
      </c>
      <c r="I31" s="28"/>
      <c r="J31" s="28"/>
      <c r="K31" s="23"/>
      <c r="L31" s="23"/>
      <c r="M31" s="45" t="str">
        <f aca="false">IF(OR(H31="",J31=""),"",1-J31/H31)</f>
        <v/>
      </c>
      <c r="N31" s="24" t="str">
        <f aca="false">IF(M31="","",IF(M31&gt;=0.2,"PASS",IF(M31&gt;=0,"MARGINAL","FAIL")))</f>
        <v/>
      </c>
      <c r="O31" s="23"/>
    </row>
    <row r="32" customFormat="false" ht="15" hidden="false" customHeight="false" outlineLevel="0" collapsed="false">
      <c r="A32" s="13" t="s">
        <v>840</v>
      </c>
      <c r="B32" s="23"/>
      <c r="C32" s="23"/>
      <c r="D32" s="23"/>
      <c r="E32" s="23"/>
      <c r="F32" s="43"/>
      <c r="G32" s="43"/>
      <c r="H32" s="44" t="str">
        <f aca="false">IF(OR(F32="",G32=""),"",ROUND(MOD(G32-F32,1)*1440,0))</f>
        <v/>
      </c>
      <c r="I32" s="28"/>
      <c r="J32" s="28"/>
      <c r="K32" s="23"/>
      <c r="L32" s="23"/>
      <c r="M32" s="45" t="str">
        <f aca="false">IF(OR(H32="",J32=""),"",1-J32/H32)</f>
        <v/>
      </c>
      <c r="N32" s="24" t="str">
        <f aca="false">IF(M32="","",IF(M32&gt;=0.2,"PASS",IF(M32&gt;=0,"MARGINAL","FAIL")))</f>
        <v/>
      </c>
      <c r="O32" s="23"/>
    </row>
    <row r="33" customFormat="false" ht="15" hidden="false" customHeight="false" outlineLevel="0" collapsed="false">
      <c r="A33" s="13" t="s">
        <v>841</v>
      </c>
      <c r="B33" s="23"/>
      <c r="C33" s="23"/>
      <c r="D33" s="23"/>
      <c r="E33" s="23"/>
      <c r="F33" s="43"/>
      <c r="G33" s="43"/>
      <c r="H33" s="44" t="str">
        <f aca="false">IF(OR(F33="",G33=""),"",ROUND(MOD(G33-F33,1)*1440,0))</f>
        <v/>
      </c>
      <c r="I33" s="28"/>
      <c r="J33" s="28"/>
      <c r="K33" s="23"/>
      <c r="L33" s="23"/>
      <c r="M33" s="45" t="str">
        <f aca="false">IF(OR(H33="",J33=""),"",1-J33/H33)</f>
        <v/>
      </c>
      <c r="N33" s="24" t="str">
        <f aca="false">IF(M33="","",IF(M33&gt;=0.2,"PASS",IF(M33&gt;=0,"MARGINAL","FAIL")))</f>
        <v/>
      </c>
      <c r="O33" s="23"/>
    </row>
    <row r="34" customFormat="false" ht="15" hidden="false" customHeight="false" outlineLevel="0" collapsed="false">
      <c r="A34" s="13" t="s">
        <v>842</v>
      </c>
      <c r="B34" s="23"/>
      <c r="C34" s="23"/>
      <c r="D34" s="23"/>
      <c r="E34" s="23"/>
      <c r="F34" s="43"/>
      <c r="G34" s="43"/>
      <c r="H34" s="44" t="str">
        <f aca="false">IF(OR(F34="",G34=""),"",ROUND(MOD(G34-F34,1)*1440,0))</f>
        <v/>
      </c>
      <c r="I34" s="28"/>
      <c r="J34" s="28"/>
      <c r="K34" s="23"/>
      <c r="L34" s="23"/>
      <c r="M34" s="45" t="str">
        <f aca="false">IF(OR(H34="",J34=""),"",1-J34/H34)</f>
        <v/>
      </c>
      <c r="N34" s="24" t="str">
        <f aca="false">IF(M34="","",IF(M34&gt;=0.2,"PASS",IF(M34&gt;=0,"MARGINAL","FAIL")))</f>
        <v/>
      </c>
      <c r="O34" s="23"/>
    </row>
    <row r="35" customFormat="false" ht="15" hidden="false" customHeight="false" outlineLevel="0" collapsed="false">
      <c r="A35" s="13" t="s">
        <v>843</v>
      </c>
      <c r="B35" s="23"/>
      <c r="C35" s="23"/>
      <c r="D35" s="23"/>
      <c r="E35" s="23"/>
      <c r="F35" s="43"/>
      <c r="G35" s="43"/>
      <c r="H35" s="44" t="str">
        <f aca="false">IF(OR(F35="",G35=""),"",ROUND(MOD(G35-F35,1)*1440,0))</f>
        <v/>
      </c>
      <c r="I35" s="28"/>
      <c r="J35" s="28"/>
      <c r="K35" s="23"/>
      <c r="L35" s="23"/>
      <c r="M35" s="45" t="str">
        <f aca="false">IF(OR(H35="",J35=""),"",1-J35/H35)</f>
        <v/>
      </c>
      <c r="N35" s="24" t="str">
        <f aca="false">IF(M35="","",IF(M35&gt;=0.2,"PASS",IF(M35&gt;=0,"MARGINAL","FAIL")))</f>
        <v/>
      </c>
      <c r="O35" s="23"/>
    </row>
    <row r="36" customFormat="false" ht="15" hidden="false" customHeight="false" outlineLevel="0" collapsed="false">
      <c r="A36" s="13" t="s">
        <v>844</v>
      </c>
      <c r="B36" s="23"/>
      <c r="C36" s="23"/>
      <c r="D36" s="23"/>
      <c r="E36" s="23"/>
      <c r="F36" s="43"/>
      <c r="G36" s="43"/>
      <c r="H36" s="44" t="str">
        <f aca="false">IF(OR(F36="",G36=""),"",ROUND(MOD(G36-F36,1)*1440,0))</f>
        <v/>
      </c>
      <c r="I36" s="28"/>
      <c r="J36" s="28"/>
      <c r="K36" s="23"/>
      <c r="L36" s="23"/>
      <c r="M36" s="45" t="str">
        <f aca="false">IF(OR(H36="",J36=""),"",1-J36/H36)</f>
        <v/>
      </c>
      <c r="N36" s="24" t="str">
        <f aca="false">IF(M36="","",IF(M36&gt;=0.2,"PASS",IF(M36&gt;=0,"MARGINAL","FAIL")))</f>
        <v/>
      </c>
      <c r="O36" s="23"/>
    </row>
    <row r="37" customFormat="false" ht="15" hidden="false" customHeight="false" outlineLevel="0" collapsed="false">
      <c r="A37" s="13" t="s">
        <v>845</v>
      </c>
      <c r="B37" s="23"/>
      <c r="C37" s="23"/>
      <c r="D37" s="23"/>
      <c r="E37" s="23"/>
      <c r="F37" s="43"/>
      <c r="G37" s="43"/>
      <c r="H37" s="44" t="str">
        <f aca="false">IF(OR(F37="",G37=""),"",ROUND(MOD(G37-F37,1)*1440,0))</f>
        <v/>
      </c>
      <c r="I37" s="28"/>
      <c r="J37" s="28"/>
      <c r="K37" s="23"/>
      <c r="L37" s="23"/>
      <c r="M37" s="45" t="str">
        <f aca="false">IF(OR(H37="",J37=""),"",1-J37/H37)</f>
        <v/>
      </c>
      <c r="N37" s="24" t="str">
        <f aca="false">IF(M37="","",IF(M37&gt;=0.2,"PASS",IF(M37&gt;=0,"MARGINAL","FAIL")))</f>
        <v/>
      </c>
      <c r="O37" s="23"/>
    </row>
    <row r="38" customFormat="false" ht="15" hidden="false" customHeight="false" outlineLevel="0" collapsed="false">
      <c r="A38" s="13" t="s">
        <v>846</v>
      </c>
      <c r="B38" s="23"/>
      <c r="C38" s="23"/>
      <c r="D38" s="23"/>
      <c r="E38" s="23"/>
      <c r="F38" s="43"/>
      <c r="G38" s="43"/>
      <c r="H38" s="44" t="str">
        <f aca="false">IF(OR(F38="",G38=""),"",ROUND(MOD(G38-F38,1)*1440,0))</f>
        <v/>
      </c>
      <c r="I38" s="28"/>
      <c r="J38" s="28"/>
      <c r="K38" s="23"/>
      <c r="L38" s="23"/>
      <c r="M38" s="45" t="str">
        <f aca="false">IF(OR(H38="",J38=""),"",1-J38/H38)</f>
        <v/>
      </c>
      <c r="N38" s="24" t="str">
        <f aca="false">IF(M38="","",IF(M38&gt;=0.2,"PASS",IF(M38&gt;=0,"MARGINAL","FAIL")))</f>
        <v/>
      </c>
      <c r="O38" s="23"/>
    </row>
    <row r="39" customFormat="false" ht="15" hidden="false" customHeight="false" outlineLevel="0" collapsed="false">
      <c r="A39" s="13" t="s">
        <v>847</v>
      </c>
      <c r="B39" s="23"/>
      <c r="C39" s="23"/>
      <c r="D39" s="23"/>
      <c r="E39" s="23"/>
      <c r="F39" s="43"/>
      <c r="G39" s="43"/>
      <c r="H39" s="44" t="str">
        <f aca="false">IF(OR(F39="",G39=""),"",ROUND(MOD(G39-F39,1)*1440,0))</f>
        <v/>
      </c>
      <c r="I39" s="28"/>
      <c r="J39" s="28"/>
      <c r="K39" s="23"/>
      <c r="L39" s="23"/>
      <c r="M39" s="45" t="str">
        <f aca="false">IF(OR(H39="",J39=""),"",1-J39/H39)</f>
        <v/>
      </c>
      <c r="N39" s="24" t="str">
        <f aca="false">IF(M39="","",IF(M39&gt;=0.2,"PASS",IF(M39&gt;=0,"MARGINAL","FAIL")))</f>
        <v/>
      </c>
      <c r="O39" s="23"/>
    </row>
    <row r="40" customFormat="false" ht="15" hidden="false" customHeight="false" outlineLevel="0" collapsed="false">
      <c r="A40" s="13" t="s">
        <v>848</v>
      </c>
      <c r="B40" s="23"/>
      <c r="C40" s="23"/>
      <c r="D40" s="23"/>
      <c r="E40" s="23"/>
      <c r="F40" s="43"/>
      <c r="G40" s="43"/>
      <c r="H40" s="44" t="str">
        <f aca="false">IF(OR(F40="",G40=""),"",ROUND(MOD(G40-F40,1)*1440,0))</f>
        <v/>
      </c>
      <c r="I40" s="28"/>
      <c r="J40" s="28"/>
      <c r="K40" s="23"/>
      <c r="L40" s="23"/>
      <c r="M40" s="45" t="str">
        <f aca="false">IF(OR(H40="",J40=""),"",1-J40/H40)</f>
        <v/>
      </c>
      <c r="N40" s="24" t="str">
        <f aca="false">IF(M40="","",IF(M40&gt;=0.2,"PASS",IF(M40&gt;=0,"MARGINAL","FAIL")))</f>
        <v/>
      </c>
      <c r="O40" s="23"/>
    </row>
    <row r="41" customFormat="false" ht="15" hidden="false" customHeight="false" outlineLevel="0" collapsed="false">
      <c r="A41" s="13" t="s">
        <v>849</v>
      </c>
      <c r="B41" s="23"/>
      <c r="C41" s="23"/>
      <c r="D41" s="23"/>
      <c r="E41" s="23"/>
      <c r="F41" s="43"/>
      <c r="G41" s="43"/>
      <c r="H41" s="44" t="str">
        <f aca="false">IF(OR(F41="",G41=""),"",ROUND(MOD(G41-F41,1)*1440,0))</f>
        <v/>
      </c>
      <c r="I41" s="28"/>
      <c r="J41" s="28"/>
      <c r="K41" s="23"/>
      <c r="L41" s="23"/>
      <c r="M41" s="45" t="str">
        <f aca="false">IF(OR(H41="",J41=""),"",1-J41/H41)</f>
        <v/>
      </c>
      <c r="N41" s="24" t="str">
        <f aca="false">IF(M41="","",IF(M41&gt;=0.2,"PASS",IF(M41&gt;=0,"MARGINAL","FAIL")))</f>
        <v/>
      </c>
      <c r="O41" s="23"/>
    </row>
    <row r="42" customFormat="false" ht="15" hidden="false" customHeight="false" outlineLevel="0" collapsed="false">
      <c r="A42" s="13" t="s">
        <v>850</v>
      </c>
      <c r="B42" s="23"/>
      <c r="C42" s="23"/>
      <c r="D42" s="23"/>
      <c r="E42" s="23"/>
      <c r="F42" s="43"/>
      <c r="G42" s="43"/>
      <c r="H42" s="44" t="str">
        <f aca="false">IF(OR(F42="",G42=""),"",ROUND(MOD(G42-F42,1)*1440,0))</f>
        <v/>
      </c>
      <c r="I42" s="28"/>
      <c r="J42" s="28"/>
      <c r="K42" s="23"/>
      <c r="L42" s="23"/>
      <c r="M42" s="45" t="str">
        <f aca="false">IF(OR(H42="",J42=""),"",1-J42/H42)</f>
        <v/>
      </c>
      <c r="N42" s="24" t="str">
        <f aca="false">IF(M42="","",IF(M42&gt;=0.2,"PASS",IF(M42&gt;=0,"MARGINAL","FAIL")))</f>
        <v/>
      </c>
      <c r="O42" s="23"/>
    </row>
    <row r="43" customFormat="false" ht="15" hidden="false" customHeight="false" outlineLevel="0" collapsed="false">
      <c r="A43" s="13" t="s">
        <v>851</v>
      </c>
      <c r="B43" s="23"/>
      <c r="C43" s="23"/>
      <c r="D43" s="23"/>
      <c r="E43" s="23"/>
      <c r="F43" s="43"/>
      <c r="G43" s="43"/>
      <c r="H43" s="44" t="str">
        <f aca="false">IF(OR(F43="",G43=""),"",ROUND(MOD(G43-F43,1)*1440,0))</f>
        <v/>
      </c>
      <c r="I43" s="28"/>
      <c r="J43" s="28"/>
      <c r="K43" s="23"/>
      <c r="L43" s="23"/>
      <c r="M43" s="45" t="str">
        <f aca="false">IF(OR(H43="",J43=""),"",1-J43/H43)</f>
        <v/>
      </c>
      <c r="N43" s="24" t="str">
        <f aca="false">IF(M43="","",IF(M43&gt;=0.2,"PASS",IF(M43&gt;=0,"MARGINAL","FAIL")))</f>
        <v/>
      </c>
      <c r="O43" s="23"/>
    </row>
    <row r="44" customFormat="false" ht="15" hidden="false" customHeight="false" outlineLevel="0" collapsed="false">
      <c r="A44" s="13" t="s">
        <v>852</v>
      </c>
      <c r="B44" s="23"/>
      <c r="C44" s="23"/>
      <c r="D44" s="23"/>
      <c r="E44" s="23"/>
      <c r="F44" s="43"/>
      <c r="G44" s="43"/>
      <c r="H44" s="44" t="str">
        <f aca="false">IF(OR(F44="",G44=""),"",ROUND(MOD(G44-F44,1)*1440,0))</f>
        <v/>
      </c>
      <c r="I44" s="28"/>
      <c r="J44" s="28"/>
      <c r="K44" s="23"/>
      <c r="L44" s="23"/>
      <c r="M44" s="45" t="str">
        <f aca="false">IF(OR(H44="",J44=""),"",1-J44/H44)</f>
        <v/>
      </c>
      <c r="N44" s="24" t="str">
        <f aca="false">IF(M44="","",IF(M44&gt;=0.2,"PASS",IF(M44&gt;=0,"MARGINAL","FAIL")))</f>
        <v/>
      </c>
      <c r="O44" s="23"/>
    </row>
    <row r="45" customFormat="false" ht="15" hidden="false" customHeight="false" outlineLevel="0" collapsed="false">
      <c r="A45" s="13" t="s">
        <v>853</v>
      </c>
      <c r="B45" s="23"/>
      <c r="C45" s="23"/>
      <c r="D45" s="23"/>
      <c r="E45" s="23"/>
      <c r="F45" s="43"/>
      <c r="G45" s="43"/>
      <c r="H45" s="44" t="str">
        <f aca="false">IF(OR(F45="",G45=""),"",ROUND(MOD(G45-F45,1)*1440,0))</f>
        <v/>
      </c>
      <c r="I45" s="28"/>
      <c r="J45" s="28"/>
      <c r="K45" s="23"/>
      <c r="L45" s="23"/>
      <c r="M45" s="45" t="str">
        <f aca="false">IF(OR(H45="",J45=""),"",1-J45/H45)</f>
        <v/>
      </c>
      <c r="N45" s="24" t="str">
        <f aca="false">IF(M45="","",IF(M45&gt;=0.2,"PASS",IF(M45&gt;=0,"MARGINAL","FAIL")))</f>
        <v/>
      </c>
      <c r="O45" s="23"/>
    </row>
    <row r="46" customFormat="false" ht="15" hidden="false" customHeight="false" outlineLevel="0" collapsed="false">
      <c r="A46" s="13" t="s">
        <v>854</v>
      </c>
      <c r="B46" s="23"/>
      <c r="C46" s="23"/>
      <c r="D46" s="23"/>
      <c r="E46" s="23"/>
      <c r="F46" s="43"/>
      <c r="G46" s="43"/>
      <c r="H46" s="44" t="str">
        <f aca="false">IF(OR(F46="",G46=""),"",ROUND(MOD(G46-F46,1)*1440,0))</f>
        <v/>
      </c>
      <c r="I46" s="28"/>
      <c r="J46" s="28"/>
      <c r="K46" s="23"/>
      <c r="L46" s="23"/>
      <c r="M46" s="45" t="str">
        <f aca="false">IF(OR(H46="",J46=""),"",1-J46/H46)</f>
        <v/>
      </c>
      <c r="N46" s="24" t="str">
        <f aca="false">IF(M46="","",IF(M46&gt;=0.2,"PASS",IF(M46&gt;=0,"MARGINAL","FAIL")))</f>
        <v/>
      </c>
      <c r="O46" s="23"/>
    </row>
    <row r="47" customFormat="false" ht="15" hidden="false" customHeight="false" outlineLevel="0" collapsed="false">
      <c r="A47" s="13" t="s">
        <v>855</v>
      </c>
      <c r="B47" s="23"/>
      <c r="C47" s="23"/>
      <c r="D47" s="23"/>
      <c r="E47" s="23"/>
      <c r="F47" s="43"/>
      <c r="G47" s="43"/>
      <c r="H47" s="44" t="str">
        <f aca="false">IF(OR(F47="",G47=""),"",ROUND(MOD(G47-F47,1)*1440,0))</f>
        <v/>
      </c>
      <c r="I47" s="28"/>
      <c r="J47" s="28"/>
      <c r="K47" s="23"/>
      <c r="L47" s="23"/>
      <c r="M47" s="45" t="str">
        <f aca="false">IF(OR(H47="",J47=""),"",1-J47/H47)</f>
        <v/>
      </c>
      <c r="N47" s="24" t="str">
        <f aca="false">IF(M47="","",IF(M47&gt;=0.2,"PASS",IF(M47&gt;=0,"MARGINAL","FAIL")))</f>
        <v/>
      </c>
      <c r="O47" s="23"/>
    </row>
    <row r="48" customFormat="false" ht="15" hidden="false" customHeight="false" outlineLevel="0" collapsed="false">
      <c r="A48" s="13" t="s">
        <v>856</v>
      </c>
      <c r="B48" s="23"/>
      <c r="C48" s="23"/>
      <c r="D48" s="23"/>
      <c r="E48" s="23"/>
      <c r="F48" s="43"/>
      <c r="G48" s="43"/>
      <c r="H48" s="44" t="str">
        <f aca="false">IF(OR(F48="",G48=""),"",ROUND(MOD(G48-F48,1)*1440,0))</f>
        <v/>
      </c>
      <c r="I48" s="28"/>
      <c r="J48" s="28"/>
      <c r="K48" s="23"/>
      <c r="L48" s="23"/>
      <c r="M48" s="45" t="str">
        <f aca="false">IF(OR(H48="",J48=""),"",1-J48/H48)</f>
        <v/>
      </c>
      <c r="N48" s="24" t="str">
        <f aca="false">IF(M48="","",IF(M48&gt;=0.2,"PASS",IF(M48&gt;=0,"MARGINAL","FAIL")))</f>
        <v/>
      </c>
      <c r="O48" s="23"/>
    </row>
    <row r="49" customFormat="false" ht="15" hidden="false" customHeight="false" outlineLevel="0" collapsed="false">
      <c r="A49" s="13" t="s">
        <v>857</v>
      </c>
      <c r="B49" s="23"/>
      <c r="C49" s="23"/>
      <c r="D49" s="23"/>
      <c r="E49" s="23"/>
      <c r="F49" s="43"/>
      <c r="G49" s="43"/>
      <c r="H49" s="44" t="str">
        <f aca="false">IF(OR(F49="",G49=""),"",ROUND(MOD(G49-F49,1)*1440,0))</f>
        <v/>
      </c>
      <c r="I49" s="28"/>
      <c r="J49" s="28"/>
      <c r="K49" s="23"/>
      <c r="L49" s="23"/>
      <c r="M49" s="45" t="str">
        <f aca="false">IF(OR(H49="",J49=""),"",1-J49/H49)</f>
        <v/>
      </c>
      <c r="N49" s="24" t="str">
        <f aca="false">IF(M49="","",IF(M49&gt;=0.2,"PASS",IF(M49&gt;=0,"MARGINAL","FAIL")))</f>
        <v/>
      </c>
      <c r="O49" s="23"/>
    </row>
    <row r="50" customFormat="false" ht="15" hidden="false" customHeight="false" outlineLevel="0" collapsed="false">
      <c r="A50" s="13" t="s">
        <v>858</v>
      </c>
      <c r="B50" s="23"/>
      <c r="C50" s="23"/>
      <c r="D50" s="23"/>
      <c r="E50" s="23"/>
      <c r="F50" s="43"/>
      <c r="G50" s="43"/>
      <c r="H50" s="44" t="str">
        <f aca="false">IF(OR(F50="",G50=""),"",ROUND(MOD(G50-F50,1)*1440,0))</f>
        <v/>
      </c>
      <c r="I50" s="28"/>
      <c r="J50" s="28"/>
      <c r="K50" s="23"/>
      <c r="L50" s="23"/>
      <c r="M50" s="45" t="str">
        <f aca="false">IF(OR(H50="",J50=""),"",1-J50/H50)</f>
        <v/>
      </c>
      <c r="N50" s="24" t="str">
        <f aca="false">IF(M50="","",IF(M50&gt;=0.2,"PASS",IF(M50&gt;=0,"MARGINAL","FAIL")))</f>
        <v/>
      </c>
      <c r="O50" s="23"/>
    </row>
    <row r="51" customFormat="false" ht="15" hidden="false" customHeight="false" outlineLevel="0" collapsed="false">
      <c r="A51" s="13" t="s">
        <v>859</v>
      </c>
      <c r="B51" s="23"/>
      <c r="C51" s="23"/>
      <c r="D51" s="23"/>
      <c r="E51" s="23"/>
      <c r="F51" s="43"/>
      <c r="G51" s="43"/>
      <c r="H51" s="44" t="str">
        <f aca="false">IF(OR(F51="",G51=""),"",ROUND(MOD(G51-F51,1)*1440,0))</f>
        <v/>
      </c>
      <c r="I51" s="28"/>
      <c r="J51" s="28"/>
      <c r="K51" s="23"/>
      <c r="L51" s="23"/>
      <c r="M51" s="45" t="str">
        <f aca="false">IF(OR(H51="",J51=""),"",1-J51/H51)</f>
        <v/>
      </c>
      <c r="N51" s="24" t="str">
        <f aca="false">IF(M51="","",IF(M51&gt;=0.2,"PASS",IF(M51&gt;=0,"MARGINAL","FAIL")))</f>
        <v/>
      </c>
      <c r="O51" s="23"/>
    </row>
    <row r="52" customFormat="false" ht="15" hidden="false" customHeight="false" outlineLevel="0" collapsed="false">
      <c r="A52" s="13" t="s">
        <v>860</v>
      </c>
      <c r="B52" s="23"/>
      <c r="C52" s="23"/>
      <c r="D52" s="23"/>
      <c r="E52" s="23"/>
      <c r="F52" s="43"/>
      <c r="G52" s="43"/>
      <c r="H52" s="44" t="str">
        <f aca="false">IF(OR(F52="",G52=""),"",ROUND(MOD(G52-F52,1)*1440,0))</f>
        <v/>
      </c>
      <c r="I52" s="28"/>
      <c r="J52" s="28"/>
      <c r="K52" s="23"/>
      <c r="L52" s="23"/>
      <c r="M52" s="45" t="str">
        <f aca="false">IF(OR(H52="",J52=""),"",1-J52/H52)</f>
        <v/>
      </c>
      <c r="N52" s="24" t="str">
        <f aca="false">IF(M52="","",IF(M52&gt;=0.2,"PASS",IF(M52&gt;=0,"MARGINAL","FAIL")))</f>
        <v/>
      </c>
      <c r="O52" s="23"/>
    </row>
    <row r="53" customFormat="false" ht="15" hidden="false" customHeight="false" outlineLevel="0" collapsed="false">
      <c r="A53" s="13" t="s">
        <v>861</v>
      </c>
      <c r="B53" s="23"/>
      <c r="C53" s="23"/>
      <c r="D53" s="23"/>
      <c r="E53" s="23"/>
      <c r="F53" s="43"/>
      <c r="G53" s="43"/>
      <c r="H53" s="44" t="str">
        <f aca="false">IF(OR(F53="",G53=""),"",ROUND(MOD(G53-F53,1)*1440,0))</f>
        <v/>
      </c>
      <c r="I53" s="28"/>
      <c r="J53" s="28"/>
      <c r="K53" s="23"/>
      <c r="L53" s="23"/>
      <c r="M53" s="45" t="str">
        <f aca="false">IF(OR(H53="",J53=""),"",1-J53/H53)</f>
        <v/>
      </c>
      <c r="N53" s="24" t="str">
        <f aca="false">IF(M53="","",IF(M53&gt;=0.2,"PASS",IF(M53&gt;=0,"MARGINAL","FAIL")))</f>
        <v/>
      </c>
      <c r="O53" s="23"/>
    </row>
    <row r="54" customFormat="false" ht="15" hidden="false" customHeight="false" outlineLevel="0" collapsed="false">
      <c r="A54" s="13" t="s">
        <v>862</v>
      </c>
      <c r="B54" s="23"/>
      <c r="C54" s="23"/>
      <c r="D54" s="23"/>
      <c r="E54" s="23"/>
      <c r="F54" s="43"/>
      <c r="G54" s="43"/>
      <c r="H54" s="44" t="str">
        <f aca="false">IF(OR(F54="",G54=""),"",ROUND(MOD(G54-F54,1)*1440,0))</f>
        <v/>
      </c>
      <c r="I54" s="28"/>
      <c r="J54" s="28"/>
      <c r="K54" s="23"/>
      <c r="L54" s="23"/>
      <c r="M54" s="45" t="str">
        <f aca="false">IF(OR(H54="",J54=""),"",1-J54/H54)</f>
        <v/>
      </c>
      <c r="N54" s="24" t="str">
        <f aca="false">IF(M54="","",IF(M54&gt;=0.2,"PASS",IF(M54&gt;=0,"MARGINAL","FAIL")))</f>
        <v/>
      </c>
      <c r="O54" s="23"/>
    </row>
    <row r="55" customFormat="false" ht="15" hidden="false" customHeight="false" outlineLevel="0" collapsed="false">
      <c r="A55" s="13" t="s">
        <v>863</v>
      </c>
      <c r="B55" s="23"/>
      <c r="C55" s="23"/>
      <c r="D55" s="23"/>
      <c r="E55" s="23"/>
      <c r="F55" s="43"/>
      <c r="G55" s="43"/>
      <c r="H55" s="44" t="str">
        <f aca="false">IF(OR(F55="",G55=""),"",ROUND(MOD(G55-F55,1)*1440,0))</f>
        <v/>
      </c>
      <c r="I55" s="28"/>
      <c r="J55" s="28"/>
      <c r="K55" s="23"/>
      <c r="L55" s="23"/>
      <c r="M55" s="45" t="str">
        <f aca="false">IF(OR(H55="",J55=""),"",1-J55/H55)</f>
        <v/>
      </c>
      <c r="N55" s="24" t="str">
        <f aca="false">IF(M55="","",IF(M55&gt;=0.2,"PASS",IF(M55&gt;=0,"MARGINAL","FAIL")))</f>
        <v/>
      </c>
      <c r="O55" s="23"/>
    </row>
    <row r="56" customFormat="false" ht="15" hidden="false" customHeight="false" outlineLevel="0" collapsed="false">
      <c r="A56" s="13" t="s">
        <v>864</v>
      </c>
      <c r="B56" s="23"/>
      <c r="C56" s="23"/>
      <c r="D56" s="23"/>
      <c r="E56" s="23"/>
      <c r="F56" s="43"/>
      <c r="G56" s="43"/>
      <c r="H56" s="44" t="str">
        <f aca="false">IF(OR(F56="",G56=""),"",ROUND(MOD(G56-F56,1)*1440,0))</f>
        <v/>
      </c>
      <c r="I56" s="28"/>
      <c r="J56" s="28"/>
      <c r="K56" s="23"/>
      <c r="L56" s="23"/>
      <c r="M56" s="45" t="str">
        <f aca="false">IF(OR(H56="",J56=""),"",1-J56/H56)</f>
        <v/>
      </c>
      <c r="N56" s="24" t="str">
        <f aca="false">IF(M56="","",IF(M56&gt;=0.2,"PASS",IF(M56&gt;=0,"MARGINAL","FAIL")))</f>
        <v/>
      </c>
      <c r="O56" s="23"/>
    </row>
    <row r="57" customFormat="false" ht="15" hidden="false" customHeight="false" outlineLevel="0" collapsed="false">
      <c r="A57" s="13" t="s">
        <v>865</v>
      </c>
      <c r="B57" s="23"/>
      <c r="C57" s="23"/>
      <c r="D57" s="23"/>
      <c r="E57" s="23"/>
      <c r="F57" s="43"/>
      <c r="G57" s="43"/>
      <c r="H57" s="44" t="str">
        <f aca="false">IF(OR(F57="",G57=""),"",ROUND(MOD(G57-F57,1)*1440,0))</f>
        <v/>
      </c>
      <c r="I57" s="28"/>
      <c r="J57" s="28"/>
      <c r="K57" s="23"/>
      <c r="L57" s="23"/>
      <c r="M57" s="45" t="str">
        <f aca="false">IF(OR(H57="",J57=""),"",1-J57/H57)</f>
        <v/>
      </c>
      <c r="N57" s="24" t="str">
        <f aca="false">IF(M57="","",IF(M57&gt;=0.2,"PASS",IF(M57&gt;=0,"MARGINAL","FAIL")))</f>
        <v/>
      </c>
      <c r="O57" s="23"/>
    </row>
    <row r="58" customFormat="false" ht="15" hidden="false" customHeight="false" outlineLevel="0" collapsed="false">
      <c r="A58" s="13" t="s">
        <v>866</v>
      </c>
      <c r="B58" s="23"/>
      <c r="C58" s="23"/>
      <c r="D58" s="23"/>
      <c r="E58" s="23"/>
      <c r="F58" s="43"/>
      <c r="G58" s="43"/>
      <c r="H58" s="44" t="str">
        <f aca="false">IF(OR(F58="",G58=""),"",ROUND(MOD(G58-F58,1)*1440,0))</f>
        <v/>
      </c>
      <c r="I58" s="28"/>
      <c r="J58" s="28"/>
      <c r="K58" s="23"/>
      <c r="L58" s="23"/>
      <c r="M58" s="45" t="str">
        <f aca="false">IF(OR(H58="",J58=""),"",1-J58/H58)</f>
        <v/>
      </c>
      <c r="N58" s="24" t="str">
        <f aca="false">IF(M58="","",IF(M58&gt;=0.2,"PASS",IF(M58&gt;=0,"MARGINAL","FAIL")))</f>
        <v/>
      </c>
      <c r="O58" s="23"/>
    </row>
    <row r="59" customFormat="false" ht="15" hidden="false" customHeight="false" outlineLevel="0" collapsed="false">
      <c r="A59" s="13" t="s">
        <v>867</v>
      </c>
      <c r="B59" s="23"/>
      <c r="C59" s="23"/>
      <c r="D59" s="23"/>
      <c r="E59" s="23"/>
      <c r="F59" s="43"/>
      <c r="G59" s="43"/>
      <c r="H59" s="44" t="str">
        <f aca="false">IF(OR(F59="",G59=""),"",ROUND(MOD(G59-F59,1)*1440,0))</f>
        <v/>
      </c>
      <c r="I59" s="28"/>
      <c r="J59" s="28"/>
      <c r="K59" s="23"/>
      <c r="L59" s="23"/>
      <c r="M59" s="45" t="str">
        <f aca="false">IF(OR(H59="",J59=""),"",1-J59/H59)</f>
        <v/>
      </c>
      <c r="N59" s="24" t="str">
        <f aca="false">IF(M59="","",IF(M59&gt;=0.2,"PASS",IF(M59&gt;=0,"MARGINAL","FAIL")))</f>
        <v/>
      </c>
      <c r="O59" s="23"/>
    </row>
    <row r="60" customFormat="false" ht="15" hidden="false" customHeight="false" outlineLevel="0" collapsed="false">
      <c r="A60" s="13" t="s">
        <v>868</v>
      </c>
      <c r="B60" s="23"/>
      <c r="C60" s="23"/>
      <c r="D60" s="23"/>
      <c r="E60" s="23"/>
      <c r="F60" s="43"/>
      <c r="G60" s="43"/>
      <c r="H60" s="44" t="str">
        <f aca="false">IF(OR(F60="",G60=""),"",ROUND(MOD(G60-F60,1)*1440,0))</f>
        <v/>
      </c>
      <c r="I60" s="28"/>
      <c r="J60" s="28"/>
      <c r="K60" s="23"/>
      <c r="L60" s="23"/>
      <c r="M60" s="45" t="str">
        <f aca="false">IF(OR(H60="",J60=""),"",1-J60/H60)</f>
        <v/>
      </c>
      <c r="N60" s="24" t="str">
        <f aca="false">IF(M60="","",IF(M60&gt;=0.2,"PASS",IF(M60&gt;=0,"MARGINAL","FAIL")))</f>
        <v/>
      </c>
      <c r="O60" s="23"/>
    </row>
    <row r="61" customFormat="false" ht="15" hidden="false" customHeight="false" outlineLevel="0" collapsed="false">
      <c r="A61" s="13" t="s">
        <v>869</v>
      </c>
      <c r="B61" s="23"/>
      <c r="C61" s="23"/>
      <c r="D61" s="23"/>
      <c r="E61" s="23"/>
      <c r="F61" s="43"/>
      <c r="G61" s="43"/>
      <c r="H61" s="44" t="str">
        <f aca="false">IF(OR(F61="",G61=""),"",ROUND(MOD(G61-F61,1)*1440,0))</f>
        <v/>
      </c>
      <c r="I61" s="28"/>
      <c r="J61" s="28"/>
      <c r="K61" s="23"/>
      <c r="L61" s="23"/>
      <c r="M61" s="45" t="str">
        <f aca="false">IF(OR(H61="",J61=""),"",1-J61/H61)</f>
        <v/>
      </c>
      <c r="N61" s="24" t="str">
        <f aca="false">IF(M61="","",IF(M61&gt;=0.2,"PASS",IF(M61&gt;=0,"MARGINAL","FAIL")))</f>
        <v/>
      </c>
      <c r="O61" s="23"/>
    </row>
    <row r="62" customFormat="false" ht="15" hidden="false" customHeight="false" outlineLevel="0" collapsed="false">
      <c r="A62" s="13" t="s">
        <v>870</v>
      </c>
      <c r="B62" s="23"/>
      <c r="C62" s="23"/>
      <c r="D62" s="23"/>
      <c r="E62" s="23"/>
      <c r="F62" s="43"/>
      <c r="G62" s="43"/>
      <c r="H62" s="44" t="str">
        <f aca="false">IF(OR(F62="",G62=""),"",ROUND(MOD(G62-F62,1)*1440,0))</f>
        <v/>
      </c>
      <c r="I62" s="28"/>
      <c r="J62" s="28"/>
      <c r="K62" s="23"/>
      <c r="L62" s="23"/>
      <c r="M62" s="45" t="str">
        <f aca="false">IF(OR(H62="",J62=""),"",1-J62/H62)</f>
        <v/>
      </c>
      <c r="N62" s="24" t="str">
        <f aca="false">IF(M62="","",IF(M62&gt;=0.2,"PASS",IF(M62&gt;=0,"MARGINAL","FAIL")))</f>
        <v/>
      </c>
      <c r="O62" s="23"/>
    </row>
    <row r="63" customFormat="false" ht="15" hidden="false" customHeight="false" outlineLevel="0" collapsed="false">
      <c r="A63" s="13" t="s">
        <v>871</v>
      </c>
      <c r="B63" s="23"/>
      <c r="C63" s="23"/>
      <c r="D63" s="23"/>
      <c r="E63" s="23"/>
      <c r="F63" s="43"/>
      <c r="G63" s="43"/>
      <c r="H63" s="44" t="str">
        <f aca="false">IF(OR(F63="",G63=""),"",ROUND(MOD(G63-F63,1)*1440,0))</f>
        <v/>
      </c>
      <c r="I63" s="28"/>
      <c r="J63" s="28"/>
      <c r="K63" s="23"/>
      <c r="L63" s="23"/>
      <c r="M63" s="45" t="str">
        <f aca="false">IF(OR(H63="",J63=""),"",1-J63/H63)</f>
        <v/>
      </c>
      <c r="N63" s="24" t="str">
        <f aca="false">IF(M63="","",IF(M63&gt;=0.2,"PASS",IF(M63&gt;=0,"MARGINAL","FAIL")))</f>
        <v/>
      </c>
      <c r="O63" s="23"/>
    </row>
    <row r="64" customFormat="false" ht="15" hidden="false" customHeight="false" outlineLevel="0" collapsed="false">
      <c r="A64" s="13" t="s">
        <v>872</v>
      </c>
      <c r="B64" s="23"/>
      <c r="C64" s="23"/>
      <c r="D64" s="23"/>
      <c r="E64" s="23"/>
      <c r="F64" s="43"/>
      <c r="G64" s="43"/>
      <c r="H64" s="44" t="str">
        <f aca="false">IF(OR(F64="",G64=""),"",ROUND(MOD(G64-F64,1)*1440,0))</f>
        <v/>
      </c>
      <c r="I64" s="28"/>
      <c r="J64" s="28"/>
      <c r="K64" s="23"/>
      <c r="L64" s="23"/>
      <c r="M64" s="45" t="str">
        <f aca="false">IF(OR(H64="",J64=""),"",1-J64/H64)</f>
        <v/>
      </c>
      <c r="N64" s="24" t="str">
        <f aca="false">IF(M64="","",IF(M64&gt;=0.2,"PASS",IF(M64&gt;=0,"MARGINAL","FAIL")))</f>
        <v/>
      </c>
      <c r="O64" s="23"/>
    </row>
    <row r="65" customFormat="false" ht="15" hidden="false" customHeight="false" outlineLevel="0" collapsed="false">
      <c r="A65" s="13" t="s">
        <v>873</v>
      </c>
      <c r="B65" s="23"/>
      <c r="C65" s="23"/>
      <c r="D65" s="23"/>
      <c r="E65" s="23"/>
      <c r="F65" s="43"/>
      <c r="G65" s="43"/>
      <c r="H65" s="44" t="str">
        <f aca="false">IF(OR(F65="",G65=""),"",ROUND(MOD(G65-F65,1)*1440,0))</f>
        <v/>
      </c>
      <c r="I65" s="28"/>
      <c r="J65" s="28"/>
      <c r="K65" s="23"/>
      <c r="L65" s="23"/>
      <c r="M65" s="45" t="str">
        <f aca="false">IF(OR(H65="",J65=""),"",1-J65/H65)</f>
        <v/>
      </c>
      <c r="N65" s="24" t="str">
        <f aca="false">IF(M65="","",IF(M65&gt;=0.2,"PASS",IF(M65&gt;=0,"MARGINAL","FAIL")))</f>
        <v/>
      </c>
      <c r="O65" s="23"/>
    </row>
    <row r="66" customFormat="false" ht="15" hidden="false" customHeight="false" outlineLevel="0" collapsed="false">
      <c r="A66" s="13" t="s">
        <v>874</v>
      </c>
      <c r="B66" s="23"/>
      <c r="C66" s="23"/>
      <c r="D66" s="23"/>
      <c r="E66" s="23"/>
      <c r="F66" s="43"/>
      <c r="G66" s="43"/>
      <c r="H66" s="44" t="str">
        <f aca="false">IF(OR(F66="",G66=""),"",ROUND(MOD(G66-F66,1)*1440,0))</f>
        <v/>
      </c>
      <c r="I66" s="28"/>
      <c r="J66" s="28"/>
      <c r="K66" s="23"/>
      <c r="L66" s="23"/>
      <c r="M66" s="45" t="str">
        <f aca="false">IF(OR(H66="",J66=""),"",1-J66/H66)</f>
        <v/>
      </c>
      <c r="N66" s="24" t="str">
        <f aca="false">IF(M66="","",IF(M66&gt;=0.2,"PASS",IF(M66&gt;=0,"MARGINAL","FAIL")))</f>
        <v/>
      </c>
      <c r="O66" s="23"/>
    </row>
    <row r="67" customFormat="false" ht="15" hidden="false" customHeight="false" outlineLevel="0" collapsed="false">
      <c r="A67" s="13" t="s">
        <v>875</v>
      </c>
      <c r="B67" s="23"/>
      <c r="C67" s="23"/>
      <c r="D67" s="23"/>
      <c r="E67" s="23"/>
      <c r="F67" s="43"/>
      <c r="G67" s="43"/>
      <c r="H67" s="44" t="str">
        <f aca="false">IF(OR(F67="",G67=""),"",ROUND(MOD(G67-F67,1)*1440,0))</f>
        <v/>
      </c>
      <c r="I67" s="28"/>
      <c r="J67" s="28"/>
      <c r="K67" s="23"/>
      <c r="L67" s="23"/>
      <c r="M67" s="45" t="str">
        <f aca="false">IF(OR(H67="",J67=""),"",1-J67/H67)</f>
        <v/>
      </c>
      <c r="N67" s="24" t="str">
        <f aca="false">IF(M67="","",IF(M67&gt;=0.2,"PASS",IF(M67&gt;=0,"MARGINAL","FAIL")))</f>
        <v/>
      </c>
      <c r="O67" s="23"/>
    </row>
    <row r="68" customFormat="false" ht="15" hidden="false" customHeight="false" outlineLevel="0" collapsed="false">
      <c r="A68" s="13" t="s">
        <v>876</v>
      </c>
      <c r="B68" s="23"/>
      <c r="C68" s="23"/>
      <c r="D68" s="23"/>
      <c r="E68" s="23"/>
      <c r="F68" s="43"/>
      <c r="G68" s="43"/>
      <c r="H68" s="44" t="str">
        <f aca="false">IF(OR(F68="",G68=""),"",ROUND(MOD(G68-F68,1)*1440,0))</f>
        <v/>
      </c>
      <c r="I68" s="28"/>
      <c r="J68" s="28"/>
      <c r="K68" s="23"/>
      <c r="L68" s="23"/>
      <c r="M68" s="45" t="str">
        <f aca="false">IF(OR(H68="",J68=""),"",1-J68/H68)</f>
        <v/>
      </c>
      <c r="N68" s="24" t="str">
        <f aca="false">IF(M68="","",IF(M68&gt;=0.2,"PASS",IF(M68&gt;=0,"MARGINAL","FAIL")))</f>
        <v/>
      </c>
      <c r="O68" s="23"/>
    </row>
    <row r="69" customFormat="false" ht="15" hidden="false" customHeight="false" outlineLevel="0" collapsed="false">
      <c r="A69" s="13" t="s">
        <v>877</v>
      </c>
      <c r="B69" s="23"/>
      <c r="C69" s="23"/>
      <c r="D69" s="23"/>
      <c r="E69" s="23"/>
      <c r="F69" s="43"/>
      <c r="G69" s="43"/>
      <c r="H69" s="44" t="str">
        <f aca="false">IF(OR(F69="",G69=""),"",ROUND(MOD(G69-F69,1)*1440,0))</f>
        <v/>
      </c>
      <c r="I69" s="28"/>
      <c r="J69" s="28"/>
      <c r="K69" s="23"/>
      <c r="L69" s="23"/>
      <c r="M69" s="45" t="str">
        <f aca="false">IF(OR(H69="",J69=""),"",1-J69/H69)</f>
        <v/>
      </c>
      <c r="N69" s="24" t="str">
        <f aca="false">IF(M69="","",IF(M69&gt;=0.2,"PASS",IF(M69&gt;=0,"MARGINAL","FAIL")))</f>
        <v/>
      </c>
      <c r="O69" s="23"/>
    </row>
    <row r="70" customFormat="false" ht="15" hidden="false" customHeight="false" outlineLevel="0" collapsed="false">
      <c r="A70" s="13" t="s">
        <v>878</v>
      </c>
      <c r="B70" s="23"/>
      <c r="C70" s="23"/>
      <c r="D70" s="23"/>
      <c r="E70" s="23"/>
      <c r="F70" s="43"/>
      <c r="G70" s="43"/>
      <c r="H70" s="44" t="str">
        <f aca="false">IF(OR(F70="",G70=""),"",ROUND(MOD(G70-F70,1)*1440,0))</f>
        <v/>
      </c>
      <c r="I70" s="28"/>
      <c r="J70" s="28"/>
      <c r="K70" s="23"/>
      <c r="L70" s="23"/>
      <c r="M70" s="45" t="str">
        <f aca="false">IF(OR(H70="",J70=""),"",1-J70/H70)</f>
        <v/>
      </c>
      <c r="N70" s="24" t="str">
        <f aca="false">IF(M70="","",IF(M70&gt;=0.2,"PASS",IF(M70&gt;=0,"MARGINAL","FAIL")))</f>
        <v/>
      </c>
      <c r="O70" s="23"/>
    </row>
    <row r="71" customFormat="false" ht="15" hidden="false" customHeight="false" outlineLevel="0" collapsed="false">
      <c r="A71" s="13" t="s">
        <v>879</v>
      </c>
      <c r="B71" s="23"/>
      <c r="C71" s="23"/>
      <c r="D71" s="23"/>
      <c r="E71" s="23"/>
      <c r="F71" s="43"/>
      <c r="G71" s="43"/>
      <c r="H71" s="44" t="str">
        <f aca="false">IF(OR(F71="",G71=""),"",ROUND(MOD(G71-F71,1)*1440,0))</f>
        <v/>
      </c>
      <c r="I71" s="28"/>
      <c r="J71" s="28"/>
      <c r="K71" s="23"/>
      <c r="L71" s="23"/>
      <c r="M71" s="45" t="str">
        <f aca="false">IF(OR(H71="",J71=""),"",1-J71/H71)</f>
        <v/>
      </c>
      <c r="N71" s="24" t="str">
        <f aca="false">IF(M71="","",IF(M71&gt;=0.2,"PASS",IF(M71&gt;=0,"MARGINAL","FAIL")))</f>
        <v/>
      </c>
      <c r="O71" s="23"/>
    </row>
    <row r="72" customFormat="false" ht="15" hidden="false" customHeight="false" outlineLevel="0" collapsed="false">
      <c r="A72" s="13" t="s">
        <v>880</v>
      </c>
      <c r="B72" s="23"/>
      <c r="C72" s="23"/>
      <c r="D72" s="23"/>
      <c r="E72" s="23"/>
      <c r="F72" s="43"/>
      <c r="G72" s="43"/>
      <c r="H72" s="44" t="str">
        <f aca="false">IF(OR(F72="",G72=""),"",ROUND(MOD(G72-F72,1)*1440,0))</f>
        <v/>
      </c>
      <c r="I72" s="28"/>
      <c r="J72" s="28"/>
      <c r="K72" s="23"/>
      <c r="L72" s="23"/>
      <c r="M72" s="45" t="str">
        <f aca="false">IF(OR(H72="",J72=""),"",1-J72/H72)</f>
        <v/>
      </c>
      <c r="N72" s="24" t="str">
        <f aca="false">IF(M72="","",IF(M72&gt;=0.2,"PASS",IF(M72&gt;=0,"MARGINAL","FAIL")))</f>
        <v/>
      </c>
      <c r="O72" s="23"/>
    </row>
    <row r="73" customFormat="false" ht="15" hidden="false" customHeight="false" outlineLevel="0" collapsed="false">
      <c r="A73" s="13" t="s">
        <v>881</v>
      </c>
      <c r="B73" s="23"/>
      <c r="C73" s="23"/>
      <c r="D73" s="23"/>
      <c r="E73" s="23"/>
      <c r="F73" s="43"/>
      <c r="G73" s="43"/>
      <c r="H73" s="44" t="str">
        <f aca="false">IF(OR(F73="",G73=""),"",ROUND(MOD(G73-F73,1)*1440,0))</f>
        <v/>
      </c>
      <c r="I73" s="28"/>
      <c r="J73" s="28"/>
      <c r="K73" s="23"/>
      <c r="L73" s="23"/>
      <c r="M73" s="45" t="str">
        <f aca="false">IF(OR(H73="",J73=""),"",1-J73/H73)</f>
        <v/>
      </c>
      <c r="N73" s="24" t="str">
        <f aca="false">IF(M73="","",IF(M73&gt;=0.2,"PASS",IF(M73&gt;=0,"MARGINAL","FAIL")))</f>
        <v/>
      </c>
      <c r="O73" s="23"/>
    </row>
    <row r="74" customFormat="false" ht="15" hidden="false" customHeight="false" outlineLevel="0" collapsed="false">
      <c r="A74" s="13" t="s">
        <v>882</v>
      </c>
      <c r="B74" s="23"/>
      <c r="C74" s="23"/>
      <c r="D74" s="23"/>
      <c r="E74" s="23"/>
      <c r="F74" s="43"/>
      <c r="G74" s="43"/>
      <c r="H74" s="44" t="str">
        <f aca="false">IF(OR(F74="",G74=""),"",ROUND(MOD(G74-F74,1)*1440,0))</f>
        <v/>
      </c>
      <c r="I74" s="28"/>
      <c r="J74" s="28"/>
      <c r="K74" s="23"/>
      <c r="L74" s="23"/>
      <c r="M74" s="45" t="str">
        <f aca="false">IF(OR(H74="",J74=""),"",1-J74/H74)</f>
        <v/>
      </c>
      <c r="N74" s="24" t="str">
        <f aca="false">IF(M74="","",IF(M74&gt;=0.2,"PASS",IF(M74&gt;=0,"MARGINAL","FAIL")))</f>
        <v/>
      </c>
      <c r="O74" s="23"/>
    </row>
    <row r="75" customFormat="false" ht="15" hidden="false" customHeight="false" outlineLevel="0" collapsed="false">
      <c r="A75" s="13" t="s">
        <v>883</v>
      </c>
      <c r="B75" s="23"/>
      <c r="C75" s="23"/>
      <c r="D75" s="23"/>
      <c r="E75" s="23"/>
      <c r="F75" s="43"/>
      <c r="G75" s="43"/>
      <c r="H75" s="44" t="str">
        <f aca="false">IF(OR(F75="",G75=""),"",ROUND(MOD(G75-F75,1)*1440,0))</f>
        <v/>
      </c>
      <c r="I75" s="28"/>
      <c r="J75" s="28"/>
      <c r="K75" s="23"/>
      <c r="L75" s="23"/>
      <c r="M75" s="45" t="str">
        <f aca="false">IF(OR(H75="",J75=""),"",1-J75/H75)</f>
        <v/>
      </c>
      <c r="N75" s="24" t="str">
        <f aca="false">IF(M75="","",IF(M75&gt;=0.2,"PASS",IF(M75&gt;=0,"MARGINAL","FAIL")))</f>
        <v/>
      </c>
      <c r="O75" s="23"/>
    </row>
    <row r="76" customFormat="false" ht="15" hidden="false" customHeight="false" outlineLevel="0" collapsed="false">
      <c r="A76" s="13" t="s">
        <v>884</v>
      </c>
      <c r="B76" s="23"/>
      <c r="C76" s="23"/>
      <c r="D76" s="23"/>
      <c r="E76" s="23"/>
      <c r="F76" s="43"/>
      <c r="G76" s="43"/>
      <c r="H76" s="44" t="str">
        <f aca="false">IF(OR(F76="",G76=""),"",ROUND(MOD(G76-F76,1)*1440,0))</f>
        <v/>
      </c>
      <c r="I76" s="28"/>
      <c r="J76" s="28"/>
      <c r="K76" s="23"/>
      <c r="L76" s="23"/>
      <c r="M76" s="45" t="str">
        <f aca="false">IF(OR(H76="",J76=""),"",1-J76/H76)</f>
        <v/>
      </c>
      <c r="N76" s="24" t="str">
        <f aca="false">IF(M76="","",IF(M76&gt;=0.2,"PASS",IF(M76&gt;=0,"MARGINAL","FAIL")))</f>
        <v/>
      </c>
      <c r="O76" s="23"/>
    </row>
    <row r="77" customFormat="false" ht="15" hidden="false" customHeight="false" outlineLevel="0" collapsed="false">
      <c r="A77" s="13" t="s">
        <v>885</v>
      </c>
      <c r="B77" s="23"/>
      <c r="C77" s="23"/>
      <c r="D77" s="23"/>
      <c r="E77" s="23"/>
      <c r="F77" s="43"/>
      <c r="G77" s="43"/>
      <c r="H77" s="44" t="str">
        <f aca="false">IF(OR(F77="",G77=""),"",ROUND(MOD(G77-F77,1)*1440,0))</f>
        <v/>
      </c>
      <c r="I77" s="28"/>
      <c r="J77" s="28"/>
      <c r="K77" s="23"/>
      <c r="L77" s="23"/>
      <c r="M77" s="45" t="str">
        <f aca="false">IF(OR(H77="",J77=""),"",1-J77/H77)</f>
        <v/>
      </c>
      <c r="N77" s="24" t="str">
        <f aca="false">IF(M77="","",IF(M77&gt;=0.2,"PASS",IF(M77&gt;=0,"MARGINAL","FAIL")))</f>
        <v/>
      </c>
      <c r="O77" s="23"/>
    </row>
    <row r="78" customFormat="false" ht="15" hidden="false" customHeight="false" outlineLevel="0" collapsed="false">
      <c r="A78" s="13" t="s">
        <v>886</v>
      </c>
      <c r="B78" s="23"/>
      <c r="C78" s="23"/>
      <c r="D78" s="23"/>
      <c r="E78" s="23"/>
      <c r="F78" s="43"/>
      <c r="G78" s="43"/>
      <c r="H78" s="44" t="str">
        <f aca="false">IF(OR(F78="",G78=""),"",ROUND(MOD(G78-F78,1)*1440,0))</f>
        <v/>
      </c>
      <c r="I78" s="28"/>
      <c r="J78" s="28"/>
      <c r="K78" s="23"/>
      <c r="L78" s="23"/>
      <c r="M78" s="45" t="str">
        <f aca="false">IF(OR(H78="",J78=""),"",1-J78/H78)</f>
        <v/>
      </c>
      <c r="N78" s="24" t="str">
        <f aca="false">IF(M78="","",IF(M78&gt;=0.2,"PASS",IF(M78&gt;=0,"MARGINAL","FAIL")))</f>
        <v/>
      </c>
      <c r="O78" s="23"/>
    </row>
    <row r="79" customFormat="false" ht="15" hidden="false" customHeight="false" outlineLevel="0" collapsed="false">
      <c r="A79" s="13" t="s">
        <v>887</v>
      </c>
      <c r="B79" s="23"/>
      <c r="C79" s="23"/>
      <c r="D79" s="23"/>
      <c r="E79" s="23"/>
      <c r="F79" s="43"/>
      <c r="G79" s="43"/>
      <c r="H79" s="44" t="str">
        <f aca="false">IF(OR(F79="",G79=""),"",ROUND(MOD(G79-F79,1)*1440,0))</f>
        <v/>
      </c>
      <c r="I79" s="28"/>
      <c r="J79" s="28"/>
      <c r="K79" s="23"/>
      <c r="L79" s="23"/>
      <c r="M79" s="45" t="str">
        <f aca="false">IF(OR(H79="",J79=""),"",1-J79/H79)</f>
        <v/>
      </c>
      <c r="N79" s="24" t="str">
        <f aca="false">IF(M79="","",IF(M79&gt;=0.2,"PASS",IF(M79&gt;=0,"MARGINAL","FAIL")))</f>
        <v/>
      </c>
      <c r="O79" s="23"/>
    </row>
    <row r="80" customFormat="false" ht="15" hidden="false" customHeight="false" outlineLevel="0" collapsed="false">
      <c r="A80" s="13" t="s">
        <v>888</v>
      </c>
      <c r="B80" s="23"/>
      <c r="C80" s="23"/>
      <c r="D80" s="23"/>
      <c r="E80" s="23"/>
      <c r="F80" s="43"/>
      <c r="G80" s="43"/>
      <c r="H80" s="44" t="str">
        <f aca="false">IF(OR(F80="",G80=""),"",ROUND(MOD(G80-F80,1)*1440,0))</f>
        <v/>
      </c>
      <c r="I80" s="28"/>
      <c r="J80" s="28"/>
      <c r="K80" s="23"/>
      <c r="L80" s="23"/>
      <c r="M80" s="45" t="str">
        <f aca="false">IF(OR(H80="",J80=""),"",1-J80/H80)</f>
        <v/>
      </c>
      <c r="N80" s="24" t="str">
        <f aca="false">IF(M80="","",IF(M80&gt;=0.2,"PASS",IF(M80&gt;=0,"MARGINAL","FAIL")))</f>
        <v/>
      </c>
      <c r="O80" s="23"/>
    </row>
    <row r="81" customFormat="false" ht="15" hidden="false" customHeight="false" outlineLevel="0" collapsed="false">
      <c r="A81" s="13" t="s">
        <v>889</v>
      </c>
      <c r="B81" s="23"/>
      <c r="C81" s="23"/>
      <c r="D81" s="23"/>
      <c r="E81" s="23"/>
      <c r="F81" s="43"/>
      <c r="G81" s="43"/>
      <c r="H81" s="44" t="str">
        <f aca="false">IF(OR(F81="",G81=""),"",ROUND(MOD(G81-F81,1)*1440,0))</f>
        <v/>
      </c>
      <c r="I81" s="28"/>
      <c r="J81" s="28"/>
      <c r="K81" s="23"/>
      <c r="L81" s="23"/>
      <c r="M81" s="45" t="str">
        <f aca="false">IF(OR(H81="",J81=""),"",1-J81/H81)</f>
        <v/>
      </c>
      <c r="N81" s="24" t="str">
        <f aca="false">IF(M81="","",IF(M81&gt;=0.2,"PASS",IF(M81&gt;=0,"MARGINAL","FAIL")))</f>
        <v/>
      </c>
      <c r="O81" s="23"/>
    </row>
    <row r="82" customFormat="false" ht="15" hidden="false" customHeight="false" outlineLevel="0" collapsed="false">
      <c r="A82" s="13" t="s">
        <v>890</v>
      </c>
      <c r="B82" s="23"/>
      <c r="C82" s="23"/>
      <c r="D82" s="23"/>
      <c r="E82" s="23"/>
      <c r="F82" s="43"/>
      <c r="G82" s="43"/>
      <c r="H82" s="44" t="str">
        <f aca="false">IF(OR(F82="",G82=""),"",ROUND(MOD(G82-F82,1)*1440,0))</f>
        <v/>
      </c>
      <c r="I82" s="28"/>
      <c r="J82" s="28"/>
      <c r="K82" s="23"/>
      <c r="L82" s="23"/>
      <c r="M82" s="45" t="str">
        <f aca="false">IF(OR(H82="",J82=""),"",1-J82/H82)</f>
        <v/>
      </c>
      <c r="N82" s="24" t="str">
        <f aca="false">IF(M82="","",IF(M82&gt;=0.2,"PASS",IF(M82&gt;=0,"MARGINAL","FAIL")))</f>
        <v/>
      </c>
      <c r="O82" s="23"/>
    </row>
    <row r="83" customFormat="false" ht="15" hidden="false" customHeight="false" outlineLevel="0" collapsed="false">
      <c r="A83" s="13" t="s">
        <v>891</v>
      </c>
      <c r="B83" s="23"/>
      <c r="C83" s="23"/>
      <c r="D83" s="23"/>
      <c r="E83" s="23"/>
      <c r="F83" s="43"/>
      <c r="G83" s="43"/>
      <c r="H83" s="44" t="str">
        <f aca="false">IF(OR(F83="",G83=""),"",ROUND(MOD(G83-F83,1)*1440,0))</f>
        <v/>
      </c>
      <c r="I83" s="28"/>
      <c r="J83" s="28"/>
      <c r="K83" s="23"/>
      <c r="L83" s="23"/>
      <c r="M83" s="45" t="str">
        <f aca="false">IF(OR(H83="",J83=""),"",1-J83/H83)</f>
        <v/>
      </c>
      <c r="N83" s="24" t="str">
        <f aca="false">IF(M83="","",IF(M83&gt;=0.2,"PASS",IF(M83&gt;=0,"MARGINAL","FAIL")))</f>
        <v/>
      </c>
      <c r="O83" s="23"/>
    </row>
    <row r="84" customFormat="false" ht="15" hidden="false" customHeight="false" outlineLevel="0" collapsed="false">
      <c r="A84" s="13" t="s">
        <v>892</v>
      </c>
      <c r="B84" s="23"/>
      <c r="C84" s="23"/>
      <c r="D84" s="23"/>
      <c r="E84" s="23"/>
      <c r="F84" s="43"/>
      <c r="G84" s="43"/>
      <c r="H84" s="44" t="str">
        <f aca="false">IF(OR(F84="",G84=""),"",ROUND(MOD(G84-F84,1)*1440,0))</f>
        <v/>
      </c>
      <c r="I84" s="28"/>
      <c r="J84" s="28"/>
      <c r="K84" s="23"/>
      <c r="L84" s="23"/>
      <c r="M84" s="45" t="str">
        <f aca="false">IF(OR(H84="",J84=""),"",1-J84/H84)</f>
        <v/>
      </c>
      <c r="N84" s="24" t="str">
        <f aca="false">IF(M84="","",IF(M84&gt;=0.2,"PASS",IF(M84&gt;=0,"MARGINAL","FAIL")))</f>
        <v/>
      </c>
      <c r="O84" s="23"/>
    </row>
  </sheetData>
  <conditionalFormatting sqref="N5:N84">
    <cfRule type="cellIs" priority="2" operator="equal" aboveAverage="0" equalAverage="0" bottom="0" percent="0" rank="0" text="" dxfId="5">
      <formula>"FAIL"</formula>
    </cfRule>
    <cfRule type="cellIs" priority="3" operator="equal" aboveAverage="0" equalAverage="0" bottom="0" percent="0" rank="0" text="" dxfId="4">
      <formula>"MARGINAL"</formula>
    </cfRule>
    <cfRule type="cellIs" priority="4" operator="equal" aboveAverage="0" equalAverage="0" bottom="0" percent="0" rank="0" text="" dxfId="12">
      <formula>"PASS"</formula>
    </cfRule>
  </conditionalFormatting>
  <dataValidations count="2">
    <dataValidation allowBlank="true" errorStyle="stop" operator="between" showDropDown="false" showErrorMessage="false" showInputMessage="false" sqref="C5:C84" type="list">
      <formula1>"Control-M,SAP SM36,DataStage,SOA,Other"</formula1>
      <formula2>0</formula2>
    </dataValidation>
    <dataValidation allowBlank="true" errorStyle="stop" operator="between" showDropDown="false" showErrorMessage="false" showInputMessage="false" sqref="K5:K8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5659"/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893</v>
      </c>
    </row>
    <row r="2" customFormat="false" ht="15" hidden="false" customHeight="false" outlineLevel="0" collapsed="false">
      <c r="A2" s="2" t="s">
        <v>894</v>
      </c>
    </row>
    <row r="4" customFormat="false" ht="15" hidden="false" customHeight="false" outlineLevel="0" collapsed="false">
      <c r="A4" s="8" t="s">
        <v>895</v>
      </c>
      <c r="B4" s="8" t="s">
        <v>896</v>
      </c>
      <c r="C4" s="8" t="s">
        <v>897</v>
      </c>
      <c r="D4" s="8" t="s">
        <v>622</v>
      </c>
      <c r="E4" s="8" t="s">
        <v>898</v>
      </c>
      <c r="F4" s="8" t="s">
        <v>49</v>
      </c>
      <c r="G4" s="8" t="s">
        <v>899</v>
      </c>
    </row>
    <row r="5" customFormat="false" ht="15" hidden="false" customHeight="false" outlineLevel="0" collapsed="false">
      <c r="A5" s="14" t="n">
        <v>1</v>
      </c>
      <c r="B5" s="21" t="s">
        <v>900</v>
      </c>
      <c r="C5" s="13" t="s">
        <v>901</v>
      </c>
      <c r="D5" s="14" t="s">
        <v>69</v>
      </c>
      <c r="E5" s="46" t="n">
        <v>46325</v>
      </c>
      <c r="F5" s="16" t="s">
        <v>902</v>
      </c>
      <c r="G5" s="23"/>
    </row>
    <row r="6" customFormat="false" ht="15" hidden="false" customHeight="false" outlineLevel="0" collapsed="false">
      <c r="A6" s="20" t="n">
        <v>2</v>
      </c>
      <c r="B6" s="22" t="s">
        <v>900</v>
      </c>
      <c r="C6" s="19" t="s">
        <v>903</v>
      </c>
      <c r="D6" s="20" t="s">
        <v>69</v>
      </c>
      <c r="E6" s="46" t="n">
        <v>46325</v>
      </c>
      <c r="F6" s="16" t="s">
        <v>902</v>
      </c>
      <c r="G6" s="23"/>
    </row>
    <row r="7" customFormat="false" ht="15" hidden="false" customHeight="false" outlineLevel="0" collapsed="false">
      <c r="A7" s="14" t="n">
        <v>3</v>
      </c>
      <c r="B7" s="21" t="s">
        <v>900</v>
      </c>
      <c r="C7" s="13" t="s">
        <v>904</v>
      </c>
      <c r="D7" s="14" t="s">
        <v>111</v>
      </c>
      <c r="E7" s="46" t="n">
        <v>46328</v>
      </c>
      <c r="F7" s="16" t="s">
        <v>902</v>
      </c>
      <c r="G7" s="23"/>
    </row>
    <row r="8" customFormat="false" ht="15" hidden="false" customHeight="false" outlineLevel="0" collapsed="false">
      <c r="A8" s="20" t="n">
        <v>4</v>
      </c>
      <c r="B8" s="22" t="s">
        <v>905</v>
      </c>
      <c r="C8" s="19" t="s">
        <v>906</v>
      </c>
      <c r="D8" s="20" t="s">
        <v>69</v>
      </c>
      <c r="E8" s="46" t="n">
        <v>46325</v>
      </c>
      <c r="F8" s="16" t="s">
        <v>902</v>
      </c>
      <c r="G8" s="23"/>
    </row>
    <row r="9" customFormat="false" ht="15" hidden="false" customHeight="false" outlineLevel="0" collapsed="false">
      <c r="A9" s="14" t="n">
        <v>5</v>
      </c>
      <c r="B9" s="21" t="s">
        <v>905</v>
      </c>
      <c r="C9" s="13" t="s">
        <v>907</v>
      </c>
      <c r="D9" s="14" t="s">
        <v>69</v>
      </c>
      <c r="E9" s="46" t="n">
        <v>46325</v>
      </c>
      <c r="F9" s="16" t="s">
        <v>902</v>
      </c>
      <c r="G9" s="23"/>
    </row>
    <row r="10" customFormat="false" ht="15" hidden="false" customHeight="false" outlineLevel="0" collapsed="false">
      <c r="A10" s="20" t="n">
        <v>6</v>
      </c>
      <c r="B10" s="22" t="s">
        <v>905</v>
      </c>
      <c r="C10" s="19" t="s">
        <v>908</v>
      </c>
      <c r="D10" s="20" t="s">
        <v>69</v>
      </c>
      <c r="E10" s="46" t="n">
        <v>46325</v>
      </c>
      <c r="F10" s="16" t="s">
        <v>902</v>
      </c>
      <c r="G10" s="23"/>
    </row>
    <row r="11" customFormat="false" ht="15" hidden="false" customHeight="false" outlineLevel="0" collapsed="false">
      <c r="A11" s="14" t="n">
        <v>7</v>
      </c>
      <c r="B11" s="21" t="s">
        <v>905</v>
      </c>
      <c r="C11" s="13" t="s">
        <v>909</v>
      </c>
      <c r="D11" s="14" t="s">
        <v>69</v>
      </c>
      <c r="E11" s="46" t="n">
        <v>46325</v>
      </c>
      <c r="F11" s="16" t="s">
        <v>902</v>
      </c>
      <c r="G11" s="23"/>
    </row>
    <row r="12" customFormat="false" ht="15" hidden="false" customHeight="false" outlineLevel="0" collapsed="false">
      <c r="A12" s="20" t="n">
        <v>8</v>
      </c>
      <c r="B12" s="22" t="s">
        <v>905</v>
      </c>
      <c r="C12" s="19" t="s">
        <v>910</v>
      </c>
      <c r="D12" s="20" t="s">
        <v>911</v>
      </c>
      <c r="E12" s="46" t="n">
        <v>46311</v>
      </c>
      <c r="F12" s="16" t="s">
        <v>902</v>
      </c>
      <c r="G12" s="23"/>
    </row>
    <row r="13" customFormat="false" ht="15" hidden="false" customHeight="false" outlineLevel="0" collapsed="false">
      <c r="A13" s="14" t="n">
        <v>9</v>
      </c>
      <c r="B13" s="21" t="s">
        <v>912</v>
      </c>
      <c r="C13" s="13" t="s">
        <v>913</v>
      </c>
      <c r="D13" s="14" t="s">
        <v>92</v>
      </c>
      <c r="E13" s="46" t="n">
        <v>46325</v>
      </c>
      <c r="F13" s="16" t="s">
        <v>902</v>
      </c>
      <c r="G13" s="23"/>
    </row>
    <row r="14" customFormat="false" ht="15" hidden="false" customHeight="false" outlineLevel="0" collapsed="false">
      <c r="A14" s="20" t="n">
        <v>10</v>
      </c>
      <c r="B14" s="22" t="s">
        <v>912</v>
      </c>
      <c r="C14" s="19" t="s">
        <v>914</v>
      </c>
      <c r="D14" s="20" t="s">
        <v>92</v>
      </c>
      <c r="E14" s="46" t="n">
        <v>46325</v>
      </c>
      <c r="F14" s="16" t="s">
        <v>902</v>
      </c>
      <c r="G14" s="23"/>
    </row>
    <row r="15" customFormat="false" ht="15" hidden="false" customHeight="false" outlineLevel="0" collapsed="false">
      <c r="A15" s="14" t="n">
        <v>11</v>
      </c>
      <c r="B15" s="21" t="s">
        <v>912</v>
      </c>
      <c r="C15" s="13" t="s">
        <v>915</v>
      </c>
      <c r="D15" s="14" t="s">
        <v>92</v>
      </c>
      <c r="E15" s="46" t="n">
        <v>46325</v>
      </c>
      <c r="F15" s="16" t="s">
        <v>902</v>
      </c>
      <c r="G15" s="23"/>
    </row>
    <row r="16" customFormat="false" ht="15" hidden="false" customHeight="false" outlineLevel="0" collapsed="false">
      <c r="A16" s="20" t="n">
        <v>12</v>
      </c>
      <c r="B16" s="22" t="s">
        <v>912</v>
      </c>
      <c r="C16" s="19" t="s">
        <v>916</v>
      </c>
      <c r="D16" s="20" t="s">
        <v>76</v>
      </c>
      <c r="E16" s="46" t="n">
        <v>46325</v>
      </c>
      <c r="F16" s="16" t="s">
        <v>902</v>
      </c>
      <c r="G16" s="23"/>
    </row>
    <row r="17" customFormat="false" ht="15" hidden="false" customHeight="false" outlineLevel="0" collapsed="false">
      <c r="A17" s="14" t="n">
        <v>13</v>
      </c>
      <c r="B17" s="21" t="s">
        <v>912</v>
      </c>
      <c r="C17" s="13" t="s">
        <v>917</v>
      </c>
      <c r="D17" s="14" t="s">
        <v>129</v>
      </c>
      <c r="E17" s="46" t="n">
        <v>46325</v>
      </c>
      <c r="F17" s="16" t="s">
        <v>902</v>
      </c>
      <c r="G17" s="23"/>
    </row>
    <row r="18" customFormat="false" ht="15" hidden="false" customHeight="false" outlineLevel="0" collapsed="false">
      <c r="A18" s="20" t="n">
        <v>14</v>
      </c>
      <c r="B18" s="22" t="s">
        <v>912</v>
      </c>
      <c r="C18" s="19" t="s">
        <v>918</v>
      </c>
      <c r="D18" s="20" t="s">
        <v>129</v>
      </c>
      <c r="E18" s="46" t="n">
        <v>46330</v>
      </c>
      <c r="F18" s="16" t="s">
        <v>902</v>
      </c>
      <c r="G18" s="23"/>
    </row>
    <row r="19" customFormat="false" ht="15" hidden="false" customHeight="false" outlineLevel="0" collapsed="false">
      <c r="A19" s="14" t="n">
        <v>15</v>
      </c>
      <c r="B19" s="21" t="s">
        <v>919</v>
      </c>
      <c r="C19" s="13" t="s">
        <v>920</v>
      </c>
      <c r="D19" s="14" t="s">
        <v>118</v>
      </c>
      <c r="E19" s="46" t="n">
        <v>46325</v>
      </c>
      <c r="F19" s="16" t="s">
        <v>902</v>
      </c>
      <c r="G19" s="23"/>
    </row>
    <row r="20" customFormat="false" ht="15" hidden="false" customHeight="false" outlineLevel="0" collapsed="false">
      <c r="A20" s="20" t="n">
        <v>16</v>
      </c>
      <c r="B20" s="22" t="s">
        <v>919</v>
      </c>
      <c r="C20" s="19" t="s">
        <v>921</v>
      </c>
      <c r="D20" s="20" t="s">
        <v>118</v>
      </c>
      <c r="E20" s="46" t="n">
        <v>46325</v>
      </c>
      <c r="F20" s="16" t="s">
        <v>902</v>
      </c>
      <c r="G20" s="23"/>
    </row>
    <row r="21" customFormat="false" ht="15" hidden="false" customHeight="false" outlineLevel="0" collapsed="false">
      <c r="A21" s="14" t="n">
        <v>17</v>
      </c>
      <c r="B21" s="21" t="s">
        <v>919</v>
      </c>
      <c r="C21" s="13" t="s">
        <v>922</v>
      </c>
      <c r="D21" s="14" t="s">
        <v>118</v>
      </c>
      <c r="E21" s="46" t="n">
        <v>46318</v>
      </c>
      <c r="F21" s="16" t="s">
        <v>902</v>
      </c>
      <c r="G21" s="23"/>
    </row>
    <row r="22" customFormat="false" ht="15" hidden="false" customHeight="false" outlineLevel="0" collapsed="false">
      <c r="A22" s="20" t="n">
        <v>18</v>
      </c>
      <c r="B22" s="22" t="s">
        <v>923</v>
      </c>
      <c r="C22" s="19" t="s">
        <v>924</v>
      </c>
      <c r="D22" s="20" t="s">
        <v>89</v>
      </c>
      <c r="E22" s="46" t="n">
        <v>46318</v>
      </c>
      <c r="F22" s="16" t="s">
        <v>902</v>
      </c>
      <c r="G22" s="23"/>
    </row>
    <row r="23" customFormat="false" ht="15" hidden="false" customHeight="false" outlineLevel="0" collapsed="false">
      <c r="A23" s="14" t="n">
        <v>19</v>
      </c>
      <c r="B23" s="21" t="s">
        <v>923</v>
      </c>
      <c r="C23" s="13" t="s">
        <v>925</v>
      </c>
      <c r="D23" s="14" t="s">
        <v>89</v>
      </c>
      <c r="E23" s="46" t="n">
        <v>46328</v>
      </c>
      <c r="F23" s="16" t="s">
        <v>902</v>
      </c>
      <c r="G23" s="23"/>
    </row>
    <row r="24" customFormat="false" ht="15" hidden="false" customHeight="false" outlineLevel="0" collapsed="false">
      <c r="A24" s="20" t="n">
        <v>20</v>
      </c>
      <c r="B24" s="22" t="s">
        <v>926</v>
      </c>
      <c r="C24" s="19" t="s">
        <v>927</v>
      </c>
      <c r="D24" s="20" t="s">
        <v>69</v>
      </c>
      <c r="E24" s="46" t="n">
        <v>46325</v>
      </c>
      <c r="F24" s="16" t="s">
        <v>902</v>
      </c>
      <c r="G24" s="23"/>
    </row>
    <row r="25" customFormat="false" ht="15" hidden="false" customHeight="false" outlineLevel="0" collapsed="false">
      <c r="A25" s="14" t="n">
        <v>21</v>
      </c>
      <c r="B25" s="21" t="s">
        <v>926</v>
      </c>
      <c r="C25" s="13" t="s">
        <v>928</v>
      </c>
      <c r="D25" s="14" t="s">
        <v>69</v>
      </c>
      <c r="E25" s="46" t="n">
        <v>46325</v>
      </c>
      <c r="F25" s="16" t="s">
        <v>902</v>
      </c>
      <c r="G25" s="23"/>
    </row>
    <row r="26" customFormat="false" ht="15" hidden="false" customHeight="false" outlineLevel="0" collapsed="false">
      <c r="A26" s="20" t="n">
        <v>22</v>
      </c>
      <c r="B26" s="22" t="s">
        <v>926</v>
      </c>
      <c r="C26" s="19" t="s">
        <v>929</v>
      </c>
      <c r="D26" s="20" t="s">
        <v>64</v>
      </c>
      <c r="E26" s="46" t="n">
        <v>46325</v>
      </c>
      <c r="F26" s="16" t="s">
        <v>902</v>
      </c>
      <c r="G26" s="23"/>
    </row>
    <row r="27" customFormat="false" ht="15" hidden="false" customHeight="false" outlineLevel="0" collapsed="false">
      <c r="A27" s="14" t="n">
        <v>23</v>
      </c>
      <c r="B27" s="21" t="s">
        <v>930</v>
      </c>
      <c r="C27" s="13" t="s">
        <v>931</v>
      </c>
      <c r="D27" s="14" t="s">
        <v>911</v>
      </c>
      <c r="E27" s="46" t="n">
        <v>46328</v>
      </c>
      <c r="F27" s="16" t="s">
        <v>902</v>
      </c>
      <c r="G27" s="23"/>
    </row>
    <row r="28" customFormat="false" ht="15" hidden="false" customHeight="false" outlineLevel="0" collapsed="false">
      <c r="A28" s="20" t="n">
        <v>24</v>
      </c>
      <c r="B28" s="22" t="s">
        <v>930</v>
      </c>
      <c r="C28" s="19" t="s">
        <v>932</v>
      </c>
      <c r="D28" s="20" t="s">
        <v>61</v>
      </c>
      <c r="E28" s="46" t="n">
        <v>46304</v>
      </c>
      <c r="F28" s="16" t="s">
        <v>902</v>
      </c>
      <c r="G28" s="23"/>
    </row>
    <row r="29" customFormat="false" ht="15" hidden="false" customHeight="false" outlineLevel="0" collapsed="false">
      <c r="A29" s="14" t="n">
        <v>25</v>
      </c>
      <c r="B29" s="21" t="s">
        <v>930</v>
      </c>
      <c r="C29" s="13" t="s">
        <v>933</v>
      </c>
      <c r="D29" s="14" t="s">
        <v>64</v>
      </c>
      <c r="E29" s="46" t="n">
        <v>46325</v>
      </c>
      <c r="F29" s="16" t="s">
        <v>902</v>
      </c>
      <c r="G29" s="23"/>
    </row>
    <row r="30" customFormat="false" ht="15" hidden="false" customHeight="false" outlineLevel="0" collapsed="false">
      <c r="A30" s="20" t="n">
        <v>26</v>
      </c>
      <c r="B30" s="22" t="s">
        <v>934</v>
      </c>
      <c r="C30" s="19" t="s">
        <v>935</v>
      </c>
      <c r="D30" s="20" t="s">
        <v>64</v>
      </c>
      <c r="E30" s="46" t="n">
        <v>46318</v>
      </c>
      <c r="F30" s="16" t="s">
        <v>902</v>
      </c>
      <c r="G30" s="23"/>
    </row>
    <row r="31" customFormat="false" ht="15" hidden="false" customHeight="false" outlineLevel="0" collapsed="false">
      <c r="A31" s="14" t="n">
        <v>27</v>
      </c>
      <c r="B31" s="21" t="s">
        <v>934</v>
      </c>
      <c r="C31" s="13" t="s">
        <v>936</v>
      </c>
      <c r="D31" s="14" t="s">
        <v>89</v>
      </c>
      <c r="E31" s="46" t="n">
        <v>46329</v>
      </c>
      <c r="F31" s="16" t="s">
        <v>902</v>
      </c>
      <c r="G31" s="23"/>
    </row>
    <row r="33" customFormat="false" ht="15" hidden="false" customHeight="false" outlineLevel="0" collapsed="false">
      <c r="B33" s="3" t="s">
        <v>937</v>
      </c>
      <c r="C33" s="3" t="str">
        <f aca="false">COUNTIF(F5:F31,"Done")&amp;" of "&amp;(COUNTA(F5:F31)-COUNTIF(F5:F31,"N/A"))&amp;" items complete"</f>
        <v>0 of 27 items complete</v>
      </c>
    </row>
  </sheetData>
  <conditionalFormatting sqref="F5:F31">
    <cfRule type="cellIs" priority="2" operator="equal" aboveAverage="0" equalAverage="0" bottom="0" percent="0" rank="0" text="" dxfId="12">
      <formula>"Done"</formula>
    </cfRule>
    <cfRule type="cellIs" priority="3" operator="equal" aboveAverage="0" equalAverage="0" bottom="0" percent="0" rank="0" text="" dxfId="5">
      <formula>"Blocked"</formula>
    </cfRule>
  </conditionalFormatting>
  <dataValidations count="1">
    <dataValidation allowBlank="true" errorStyle="stop" operator="between" showDropDown="false" showErrorMessage="false" showInputMessage="false" sqref="F5:F31" type="list">
      <formula1>"Open,In progress,Done,Blocked,N/A"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5659"/>
    <pageSetUpPr fitToPage="tru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62"/>
    <col collapsed="false" customWidth="true" hidden="false" outlineLevel="0" max="8" min="8" style="0" width="8"/>
    <col collapsed="false" customWidth="true" hidden="false" outlineLevel="0" max="10" min="9" style="0" width="12"/>
  </cols>
  <sheetData>
    <row r="1" customFormat="false" ht="19.7" hidden="false" customHeight="false" outlineLevel="0" collapsed="false">
      <c r="A1" s="1" t="s">
        <v>938</v>
      </c>
    </row>
    <row r="2" customFormat="false" ht="15" hidden="false" customHeight="false" outlineLevel="0" collapsed="false">
      <c r="A2" s="2" t="s">
        <v>939</v>
      </c>
    </row>
    <row r="4" customFormat="false" ht="15" hidden="false" customHeight="false" outlineLevel="0" collapsed="false">
      <c r="A4" s="8" t="s">
        <v>40</v>
      </c>
      <c r="B4" s="8" t="s">
        <v>940</v>
      </c>
      <c r="C4" s="8" t="s">
        <v>941</v>
      </c>
      <c r="D4" s="8" t="s">
        <v>942</v>
      </c>
      <c r="E4" s="8" t="s">
        <v>943</v>
      </c>
      <c r="F4" s="8" t="s">
        <v>944</v>
      </c>
      <c r="G4" s="8" t="s">
        <v>945</v>
      </c>
      <c r="H4" s="8" t="s">
        <v>622</v>
      </c>
      <c r="I4" s="8" t="s">
        <v>946</v>
      </c>
      <c r="J4" s="8" t="s">
        <v>49</v>
      </c>
    </row>
    <row r="5" customFormat="false" ht="15" hidden="false" customHeight="false" outlineLevel="0" collapsed="false">
      <c r="A5" s="13" t="s">
        <v>947</v>
      </c>
      <c r="B5" s="13" t="s">
        <v>948</v>
      </c>
      <c r="C5" s="16" t="n">
        <v>4</v>
      </c>
      <c r="D5" s="16" t="n">
        <v>5</v>
      </c>
      <c r="E5" s="14" t="n">
        <f aca="false">C5*D5</f>
        <v>20</v>
      </c>
      <c r="F5" s="24" t="str">
        <f aca="false">IF(E5&gt;=15,"High",IF(E5&gt;=8,"Medium","Low"))</f>
        <v>High</v>
      </c>
      <c r="G5" s="13" t="s">
        <v>949</v>
      </c>
      <c r="H5" s="14" t="s">
        <v>61</v>
      </c>
      <c r="I5" s="46" t="n">
        <v>46304</v>
      </c>
      <c r="J5" s="16" t="s">
        <v>902</v>
      </c>
    </row>
    <row r="6" customFormat="false" ht="15" hidden="false" customHeight="false" outlineLevel="0" collapsed="false">
      <c r="A6" s="19" t="s">
        <v>950</v>
      </c>
      <c r="B6" s="19" t="s">
        <v>951</v>
      </c>
      <c r="C6" s="16" t="n">
        <v>5</v>
      </c>
      <c r="D6" s="16" t="n">
        <v>4</v>
      </c>
      <c r="E6" s="20" t="n">
        <f aca="false">C6*D6</f>
        <v>20</v>
      </c>
      <c r="F6" s="25" t="str">
        <f aca="false">IF(E6&gt;=15,"High",IF(E6&gt;=8,"Medium","Low"))</f>
        <v>High</v>
      </c>
      <c r="G6" s="19" t="s">
        <v>952</v>
      </c>
      <c r="H6" s="20" t="s">
        <v>56</v>
      </c>
      <c r="I6" s="46" t="n">
        <v>46304</v>
      </c>
      <c r="J6" s="16" t="s">
        <v>902</v>
      </c>
    </row>
    <row r="7" customFormat="false" ht="15" hidden="false" customHeight="false" outlineLevel="0" collapsed="false">
      <c r="A7" s="13" t="s">
        <v>953</v>
      </c>
      <c r="B7" s="13" t="s">
        <v>954</v>
      </c>
      <c r="C7" s="16" t="n">
        <v>5</v>
      </c>
      <c r="D7" s="16" t="n">
        <v>3</v>
      </c>
      <c r="E7" s="14" t="n">
        <f aca="false">C7*D7</f>
        <v>15</v>
      </c>
      <c r="F7" s="24" t="str">
        <f aca="false">IF(E7&gt;=15,"High",IF(E7&gt;=8,"Medium","Low"))</f>
        <v>High</v>
      </c>
      <c r="G7" s="13" t="s">
        <v>955</v>
      </c>
      <c r="H7" s="14" t="s">
        <v>111</v>
      </c>
      <c r="I7" s="46" t="n">
        <v>46304</v>
      </c>
      <c r="J7" s="16" t="s">
        <v>902</v>
      </c>
    </row>
    <row r="8" customFormat="false" ht="15" hidden="false" customHeight="false" outlineLevel="0" collapsed="false">
      <c r="A8" s="19" t="s">
        <v>956</v>
      </c>
      <c r="B8" s="19" t="s">
        <v>957</v>
      </c>
      <c r="C8" s="16" t="n">
        <v>4</v>
      </c>
      <c r="D8" s="16" t="n">
        <v>4</v>
      </c>
      <c r="E8" s="20" t="n">
        <f aca="false">C8*D8</f>
        <v>16</v>
      </c>
      <c r="F8" s="25" t="str">
        <f aca="false">IF(E8&gt;=15,"High",IF(E8&gt;=8,"Medium","Low"))</f>
        <v>High</v>
      </c>
      <c r="G8" s="19" t="s">
        <v>958</v>
      </c>
      <c r="H8" s="20" t="s">
        <v>76</v>
      </c>
      <c r="I8" s="46" t="n">
        <v>46304</v>
      </c>
      <c r="J8" s="16" t="s">
        <v>902</v>
      </c>
    </row>
    <row r="9" customFormat="false" ht="15" hidden="false" customHeight="false" outlineLevel="0" collapsed="false">
      <c r="A9" s="13" t="s">
        <v>959</v>
      </c>
      <c r="B9" s="13" t="s">
        <v>960</v>
      </c>
      <c r="C9" s="16" t="n">
        <v>4</v>
      </c>
      <c r="D9" s="16" t="n">
        <v>5</v>
      </c>
      <c r="E9" s="14" t="n">
        <f aca="false">C9*D9</f>
        <v>20</v>
      </c>
      <c r="F9" s="24" t="str">
        <f aca="false">IF(E9&gt;=15,"High",IF(E9&gt;=8,"Medium","Low"))</f>
        <v>High</v>
      </c>
      <c r="G9" s="13" t="s">
        <v>961</v>
      </c>
      <c r="H9" s="14" t="s">
        <v>64</v>
      </c>
      <c r="I9" s="46" t="n">
        <v>46304</v>
      </c>
      <c r="J9" s="16" t="s">
        <v>902</v>
      </c>
    </row>
    <row r="10" customFormat="false" ht="15" hidden="false" customHeight="false" outlineLevel="0" collapsed="false">
      <c r="A10" s="19" t="s">
        <v>962</v>
      </c>
      <c r="B10" s="19" t="s">
        <v>963</v>
      </c>
      <c r="C10" s="16" t="n">
        <v>3</v>
      </c>
      <c r="D10" s="16" t="n">
        <v>4</v>
      </c>
      <c r="E10" s="20" t="n">
        <f aca="false">C10*D10</f>
        <v>12</v>
      </c>
      <c r="F10" s="25" t="str">
        <f aca="false">IF(E10&gt;=15,"High",IF(E10&gt;=8,"Medium","Low"))</f>
        <v>Medium</v>
      </c>
      <c r="G10" s="19" t="s">
        <v>964</v>
      </c>
      <c r="H10" s="20" t="s">
        <v>69</v>
      </c>
      <c r="I10" s="46" t="n">
        <v>46304</v>
      </c>
      <c r="J10" s="16" t="s">
        <v>902</v>
      </c>
    </row>
    <row r="11" customFormat="false" ht="15" hidden="false" customHeight="false" outlineLevel="0" collapsed="false">
      <c r="A11" s="13" t="s">
        <v>965</v>
      </c>
      <c r="B11" s="13" t="s">
        <v>966</v>
      </c>
      <c r="C11" s="16" t="n">
        <v>3</v>
      </c>
      <c r="D11" s="16" t="n">
        <v>4</v>
      </c>
      <c r="E11" s="14" t="n">
        <f aca="false">C11*D11</f>
        <v>12</v>
      </c>
      <c r="F11" s="24" t="str">
        <f aca="false">IF(E11&gt;=15,"High",IF(E11&gt;=8,"Medium","Low"))</f>
        <v>Medium</v>
      </c>
      <c r="G11" s="13" t="s">
        <v>967</v>
      </c>
      <c r="H11" s="14" t="s">
        <v>61</v>
      </c>
      <c r="I11" s="46" t="n">
        <v>46304</v>
      </c>
      <c r="J11" s="16" t="s">
        <v>902</v>
      </c>
    </row>
    <row r="12" customFormat="false" ht="15" hidden="false" customHeight="false" outlineLevel="0" collapsed="false">
      <c r="A12" s="19" t="s">
        <v>968</v>
      </c>
      <c r="B12" s="19" t="s">
        <v>969</v>
      </c>
      <c r="C12" s="16" t="n">
        <v>3</v>
      </c>
      <c r="D12" s="16" t="n">
        <v>3</v>
      </c>
      <c r="E12" s="20" t="n">
        <f aca="false">C12*D12</f>
        <v>9</v>
      </c>
      <c r="F12" s="25" t="str">
        <f aca="false">IF(E12&gt;=15,"High",IF(E12&gt;=8,"Medium","Low"))</f>
        <v>Medium</v>
      </c>
      <c r="G12" s="19" t="s">
        <v>970</v>
      </c>
      <c r="H12" s="20" t="s">
        <v>118</v>
      </c>
      <c r="I12" s="46" t="n">
        <v>46304</v>
      </c>
      <c r="J12" s="16" t="s">
        <v>902</v>
      </c>
    </row>
    <row r="13" customFormat="false" ht="15" hidden="false" customHeight="false" outlineLevel="0" collapsed="false">
      <c r="A13" s="13" t="s">
        <v>971</v>
      </c>
      <c r="B13" s="13" t="s">
        <v>972</v>
      </c>
      <c r="C13" s="16" t="n">
        <v>3</v>
      </c>
      <c r="D13" s="16" t="n">
        <v>5</v>
      </c>
      <c r="E13" s="14" t="n">
        <f aca="false">C13*D13</f>
        <v>15</v>
      </c>
      <c r="F13" s="24" t="str">
        <f aca="false">IF(E13&gt;=15,"High",IF(E13&gt;=8,"Medium","Low"))</f>
        <v>High</v>
      </c>
      <c r="G13" s="13" t="s">
        <v>973</v>
      </c>
      <c r="H13" s="14" t="s">
        <v>61</v>
      </c>
      <c r="I13" s="46" t="n">
        <v>46304</v>
      </c>
      <c r="J13" s="16" t="s">
        <v>902</v>
      </c>
    </row>
    <row r="14" customFormat="false" ht="15" hidden="false" customHeight="false" outlineLevel="0" collapsed="false">
      <c r="A14" s="19" t="s">
        <v>974</v>
      </c>
      <c r="B14" s="19" t="s">
        <v>975</v>
      </c>
      <c r="C14" s="16" t="n">
        <v>3</v>
      </c>
      <c r="D14" s="16" t="n">
        <v>4</v>
      </c>
      <c r="E14" s="20" t="n">
        <f aca="false">C14*D14</f>
        <v>12</v>
      </c>
      <c r="F14" s="25" t="str">
        <f aca="false">IF(E14&gt;=15,"High",IF(E14&gt;=8,"Medium","Low"))</f>
        <v>Medium</v>
      </c>
      <c r="G14" s="19" t="s">
        <v>976</v>
      </c>
      <c r="H14" s="20" t="s">
        <v>92</v>
      </c>
      <c r="I14" s="46" t="n">
        <v>46304</v>
      </c>
      <c r="J14" s="16" t="s">
        <v>902</v>
      </c>
    </row>
    <row r="15" customFormat="false" ht="15" hidden="false" customHeight="false" outlineLevel="0" collapsed="false">
      <c r="A15" s="13" t="s">
        <v>977</v>
      </c>
      <c r="B15" s="13" t="s">
        <v>978</v>
      </c>
      <c r="C15" s="16" t="n">
        <v>2</v>
      </c>
      <c r="D15" s="16" t="n">
        <v>5</v>
      </c>
      <c r="E15" s="14" t="n">
        <f aca="false">C15*D15</f>
        <v>10</v>
      </c>
      <c r="F15" s="24" t="str">
        <f aca="false">IF(E15&gt;=15,"High",IF(E15&gt;=8,"Medium","Low"))</f>
        <v>Medium</v>
      </c>
      <c r="G15" s="13" t="s">
        <v>979</v>
      </c>
      <c r="H15" s="14" t="s">
        <v>69</v>
      </c>
      <c r="I15" s="46" t="n">
        <v>46304</v>
      </c>
      <c r="J15" s="16" t="s">
        <v>902</v>
      </c>
    </row>
    <row r="17" customFormat="false" ht="16.15" hidden="false" customHeight="false" outlineLevel="0" collapsed="false">
      <c r="A17" s="47" t="s">
        <v>980</v>
      </c>
    </row>
    <row r="18" customFormat="false" ht="15" hidden="false" customHeight="true" outlineLevel="0" collapsed="false">
      <c r="A18" s="8" t="s">
        <v>40</v>
      </c>
      <c r="B18" s="8" t="s">
        <v>981</v>
      </c>
      <c r="C18" s="8" t="s">
        <v>982</v>
      </c>
      <c r="D18" s="8"/>
      <c r="E18" s="8"/>
      <c r="F18" s="8"/>
      <c r="G18" s="8" t="s">
        <v>983</v>
      </c>
      <c r="H18" s="8" t="s">
        <v>984</v>
      </c>
      <c r="I18" s="8" t="s">
        <v>985</v>
      </c>
      <c r="J18" s="8" t="s">
        <v>49</v>
      </c>
    </row>
    <row r="19" customFormat="false" ht="15" hidden="false" customHeight="true" outlineLevel="0" collapsed="false">
      <c r="A19" s="13" t="s">
        <v>986</v>
      </c>
      <c r="B19" s="21" t="s">
        <v>987</v>
      </c>
      <c r="C19" s="13" t="s">
        <v>988</v>
      </c>
      <c r="D19" s="13"/>
      <c r="E19" s="13"/>
      <c r="F19" s="13"/>
      <c r="G19" s="13" t="s">
        <v>989</v>
      </c>
      <c r="H19" s="14" t="s">
        <v>56</v>
      </c>
      <c r="I19" s="46" t="n">
        <v>46304</v>
      </c>
      <c r="J19" s="16" t="s">
        <v>990</v>
      </c>
    </row>
    <row r="20" customFormat="false" ht="15" hidden="false" customHeight="true" outlineLevel="0" collapsed="false">
      <c r="A20" s="19" t="s">
        <v>991</v>
      </c>
      <c r="B20" s="22" t="s">
        <v>992</v>
      </c>
      <c r="C20" s="19" t="s">
        <v>993</v>
      </c>
      <c r="D20" s="19"/>
      <c r="E20" s="19"/>
      <c r="F20" s="19"/>
      <c r="G20" s="19" t="s">
        <v>994</v>
      </c>
      <c r="H20" s="20" t="s">
        <v>56</v>
      </c>
      <c r="I20" s="46" t="n">
        <v>46304</v>
      </c>
      <c r="J20" s="16" t="s">
        <v>990</v>
      </c>
    </row>
    <row r="21" customFormat="false" ht="15" hidden="false" customHeight="true" outlineLevel="0" collapsed="false">
      <c r="A21" s="13" t="s">
        <v>995</v>
      </c>
      <c r="B21" s="21" t="s">
        <v>996</v>
      </c>
      <c r="C21" s="13" t="s">
        <v>997</v>
      </c>
      <c r="D21" s="13"/>
      <c r="E21" s="13"/>
      <c r="F21" s="13"/>
      <c r="G21" s="13" t="s">
        <v>998</v>
      </c>
      <c r="H21" s="14" t="s">
        <v>56</v>
      </c>
      <c r="I21" s="46" t="n">
        <v>46304</v>
      </c>
      <c r="J21" s="16" t="s">
        <v>990</v>
      </c>
    </row>
    <row r="22" customFormat="false" ht="15" hidden="false" customHeight="true" outlineLevel="0" collapsed="false">
      <c r="A22" s="19" t="s">
        <v>999</v>
      </c>
      <c r="B22" s="22" t="s">
        <v>1000</v>
      </c>
      <c r="C22" s="19" t="s">
        <v>1001</v>
      </c>
      <c r="D22" s="19"/>
      <c r="E22" s="19"/>
      <c r="F22" s="19"/>
      <c r="G22" s="19" t="s">
        <v>1002</v>
      </c>
      <c r="H22" s="20" t="s">
        <v>61</v>
      </c>
      <c r="I22" s="46" t="n">
        <v>46311</v>
      </c>
      <c r="J22" s="16" t="s">
        <v>990</v>
      </c>
    </row>
    <row r="23" customFormat="false" ht="15" hidden="false" customHeight="true" outlineLevel="0" collapsed="false">
      <c r="A23" s="13" t="s">
        <v>1003</v>
      </c>
      <c r="B23" s="21" t="s">
        <v>1004</v>
      </c>
      <c r="C23" s="13" t="s">
        <v>1005</v>
      </c>
      <c r="D23" s="13"/>
      <c r="E23" s="13"/>
      <c r="F23" s="13"/>
      <c r="G23" s="13" t="s">
        <v>1006</v>
      </c>
      <c r="H23" s="14" t="s">
        <v>56</v>
      </c>
      <c r="I23" s="46" t="n">
        <v>46304</v>
      </c>
      <c r="J23" s="16" t="s">
        <v>990</v>
      </c>
    </row>
    <row r="24" customFormat="false" ht="15" hidden="false" customHeight="true" outlineLevel="0" collapsed="false">
      <c r="A24" s="19" t="s">
        <v>1007</v>
      </c>
      <c r="B24" s="22" t="s">
        <v>1008</v>
      </c>
      <c r="C24" s="19" t="s">
        <v>1009</v>
      </c>
      <c r="D24" s="19"/>
      <c r="E24" s="19"/>
      <c r="F24" s="19"/>
      <c r="G24" s="19" t="s">
        <v>1010</v>
      </c>
      <c r="H24" s="20" t="s">
        <v>56</v>
      </c>
      <c r="I24" s="46" t="n">
        <v>46346</v>
      </c>
      <c r="J24" s="16" t="s">
        <v>990</v>
      </c>
    </row>
    <row r="25" customFormat="false" ht="15" hidden="false" customHeight="true" outlineLevel="0" collapsed="false">
      <c r="A25" s="13" t="s">
        <v>1011</v>
      </c>
      <c r="B25" s="21" t="s">
        <v>1012</v>
      </c>
      <c r="C25" s="13" t="s">
        <v>1013</v>
      </c>
      <c r="D25" s="13"/>
      <c r="E25" s="13"/>
      <c r="F25" s="13"/>
      <c r="G25" s="13" t="s">
        <v>1014</v>
      </c>
      <c r="H25" s="14" t="s">
        <v>61</v>
      </c>
      <c r="I25" s="46" t="n">
        <v>46304</v>
      </c>
      <c r="J25" s="16" t="s">
        <v>990</v>
      </c>
    </row>
  </sheetData>
  <mergeCells count="8">
    <mergeCell ref="C18:F18"/>
    <mergeCell ref="C19:F19"/>
    <mergeCell ref="C20:F20"/>
    <mergeCell ref="C21:F21"/>
    <mergeCell ref="C22:F22"/>
    <mergeCell ref="C23:F23"/>
    <mergeCell ref="C24:F24"/>
    <mergeCell ref="C25:F25"/>
  </mergeCells>
  <conditionalFormatting sqref="F5:F15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</conditionalFormatting>
  <dataValidations count="2">
    <dataValidation allowBlank="true" errorStyle="stop" operator="between" showDropDown="false" showErrorMessage="false" showInputMessage="false" sqref="J5:J15" type="list">
      <formula1>"Open,Mitigating,Closed,Realized"</formula1>
      <formula2>0</formula2>
    </dataValidation>
    <dataValidation allowBlank="true" errorStyle="stop" operator="between" showDropDown="false" showErrorMessage="false" showInputMessage="false" sqref="J19:J25" type="list">
      <formula1>"Pending,Approved,Rejected,Deferred"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5659"/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24"/>
  </cols>
  <sheetData>
    <row r="1" customFormat="false" ht="19.7" hidden="false" customHeight="false" outlineLevel="0" collapsed="false">
      <c r="A1" s="1" t="s">
        <v>1015</v>
      </c>
    </row>
    <row r="2" customFormat="false" ht="15" hidden="false" customHeight="false" outlineLevel="0" collapsed="false">
      <c r="A2" s="2" t="s">
        <v>1016</v>
      </c>
    </row>
    <row r="4" customFormat="false" ht="15" hidden="false" customHeight="false" outlineLevel="0" collapsed="false">
      <c r="A4" s="8" t="s">
        <v>1017</v>
      </c>
      <c r="B4" s="8" t="s">
        <v>1018</v>
      </c>
      <c r="C4" s="8" t="s">
        <v>608</v>
      </c>
      <c r="D4" s="8" t="s">
        <v>1019</v>
      </c>
      <c r="E4" s="8" t="s">
        <v>45</v>
      </c>
      <c r="F4" s="8" t="s">
        <v>46</v>
      </c>
      <c r="G4" s="8" t="s">
        <v>1020</v>
      </c>
      <c r="H4" s="8" t="s">
        <v>1021</v>
      </c>
      <c r="I4" s="8" t="s">
        <v>1022</v>
      </c>
    </row>
    <row r="5" customFormat="false" ht="15" hidden="false" customHeight="false" outlineLevel="0" collapsed="false">
      <c r="A5" s="21" t="s">
        <v>1023</v>
      </c>
      <c r="B5" s="14" t="s">
        <v>61</v>
      </c>
      <c r="C5" s="13" t="s">
        <v>1024</v>
      </c>
      <c r="D5" s="36" t="n">
        <v>1</v>
      </c>
      <c r="E5" s="46" t="n">
        <v>46300</v>
      </c>
      <c r="F5" s="46" t="n">
        <v>46430</v>
      </c>
      <c r="G5" s="48" t="n">
        <f aca="false">ROUND((F5-E5+1)/7,1)</f>
        <v>18.7</v>
      </c>
      <c r="H5" s="48" t="n">
        <f aca="false">D5*G5</f>
        <v>18.7</v>
      </c>
      <c r="I5" s="23"/>
    </row>
    <row r="6" customFormat="false" ht="15" hidden="false" customHeight="false" outlineLevel="0" collapsed="false">
      <c r="A6" s="22" t="s">
        <v>1025</v>
      </c>
      <c r="B6" s="20" t="s">
        <v>64</v>
      </c>
      <c r="C6" s="19" t="s">
        <v>1026</v>
      </c>
      <c r="D6" s="36" t="n">
        <v>1</v>
      </c>
      <c r="E6" s="46" t="n">
        <v>46300</v>
      </c>
      <c r="F6" s="46" t="n">
        <v>46379</v>
      </c>
      <c r="G6" s="49" t="n">
        <f aca="false">ROUND((F6-E6+1)/7,1)</f>
        <v>11.4</v>
      </c>
      <c r="H6" s="49" t="n">
        <f aca="false">D6*G6</f>
        <v>11.4</v>
      </c>
      <c r="I6" s="23"/>
    </row>
    <row r="7" customFormat="false" ht="15" hidden="false" customHeight="false" outlineLevel="0" collapsed="false">
      <c r="A7" s="21" t="s">
        <v>1027</v>
      </c>
      <c r="B7" s="14" t="s">
        <v>89</v>
      </c>
      <c r="C7" s="13" t="s">
        <v>1028</v>
      </c>
      <c r="D7" s="36" t="n">
        <v>4</v>
      </c>
      <c r="E7" s="46" t="n">
        <v>46307</v>
      </c>
      <c r="F7" s="46" t="n">
        <v>46379</v>
      </c>
      <c r="G7" s="48" t="n">
        <f aca="false">ROUND((F7-E7+1)/7,1)</f>
        <v>10.4</v>
      </c>
      <c r="H7" s="48" t="n">
        <f aca="false">D7*G7</f>
        <v>41.6</v>
      </c>
      <c r="I7" s="23"/>
    </row>
    <row r="8" customFormat="false" ht="15" hidden="false" customHeight="false" outlineLevel="0" collapsed="false">
      <c r="A8" s="22" t="s">
        <v>1029</v>
      </c>
      <c r="B8" s="20" t="s">
        <v>111</v>
      </c>
      <c r="C8" s="19" t="s">
        <v>1030</v>
      </c>
      <c r="D8" s="36" t="n">
        <v>1</v>
      </c>
      <c r="E8" s="46" t="n">
        <v>46302</v>
      </c>
      <c r="F8" s="46" t="n">
        <v>46360</v>
      </c>
      <c r="G8" s="49" t="n">
        <f aca="false">ROUND((F8-E8+1)/7,1)</f>
        <v>8.4</v>
      </c>
      <c r="H8" s="49" t="n">
        <f aca="false">D8*G8</f>
        <v>8.4</v>
      </c>
      <c r="I8" s="23"/>
    </row>
    <row r="9" customFormat="false" ht="15" hidden="false" customHeight="false" outlineLevel="0" collapsed="false">
      <c r="A9" s="21" t="s">
        <v>1031</v>
      </c>
      <c r="B9" s="14" t="s">
        <v>69</v>
      </c>
      <c r="C9" s="13" t="s">
        <v>1032</v>
      </c>
      <c r="D9" s="36" t="n">
        <v>1</v>
      </c>
      <c r="E9" s="46" t="n">
        <v>46300</v>
      </c>
      <c r="F9" s="46" t="n">
        <v>46402</v>
      </c>
      <c r="G9" s="48" t="n">
        <f aca="false">ROUND((F9-E9+1)/7,1)</f>
        <v>14.7</v>
      </c>
      <c r="H9" s="48" t="n">
        <f aca="false">D9*G9</f>
        <v>14.7</v>
      </c>
      <c r="I9" s="23"/>
    </row>
    <row r="10" customFormat="false" ht="15" hidden="false" customHeight="false" outlineLevel="0" collapsed="false">
      <c r="A10" s="22" t="s">
        <v>1033</v>
      </c>
      <c r="B10" s="20" t="s">
        <v>95</v>
      </c>
      <c r="C10" s="19" t="s">
        <v>1026</v>
      </c>
      <c r="D10" s="36" t="n">
        <v>2</v>
      </c>
      <c r="E10" s="46" t="n">
        <v>46307</v>
      </c>
      <c r="F10" s="46" t="n">
        <v>46367</v>
      </c>
      <c r="G10" s="49" t="n">
        <f aca="false">ROUND((F10-E10+1)/7,1)</f>
        <v>8.7</v>
      </c>
      <c r="H10" s="49" t="n">
        <f aca="false">D10*G10</f>
        <v>17.4</v>
      </c>
      <c r="I10" s="23"/>
    </row>
    <row r="11" customFormat="false" ht="15" hidden="false" customHeight="false" outlineLevel="0" collapsed="false">
      <c r="A11" s="21" t="s">
        <v>1034</v>
      </c>
      <c r="B11" s="14" t="s">
        <v>92</v>
      </c>
      <c r="C11" s="13" t="s">
        <v>1035</v>
      </c>
      <c r="D11" s="36" t="n">
        <v>1</v>
      </c>
      <c r="E11" s="46" t="n">
        <v>46307</v>
      </c>
      <c r="F11" s="46" t="n">
        <v>46379</v>
      </c>
      <c r="G11" s="48" t="n">
        <f aca="false">ROUND((F11-E11+1)/7,1)</f>
        <v>10.4</v>
      </c>
      <c r="H11" s="48" t="n">
        <f aca="false">D11*G11</f>
        <v>10.4</v>
      </c>
      <c r="I11" s="23"/>
    </row>
    <row r="12" customFormat="false" ht="15" hidden="false" customHeight="false" outlineLevel="0" collapsed="false">
      <c r="A12" s="22" t="s">
        <v>1036</v>
      </c>
      <c r="B12" s="20" t="s">
        <v>129</v>
      </c>
      <c r="C12" s="19" t="s">
        <v>1024</v>
      </c>
      <c r="D12" s="36" t="n">
        <v>0.5</v>
      </c>
      <c r="E12" s="46" t="n">
        <v>46307</v>
      </c>
      <c r="F12" s="46" t="n">
        <v>46360</v>
      </c>
      <c r="G12" s="49" t="n">
        <f aca="false">ROUND((F12-E12+1)/7,1)</f>
        <v>7.7</v>
      </c>
      <c r="H12" s="49" t="n">
        <f aca="false">D12*G12</f>
        <v>3.85</v>
      </c>
      <c r="I12" s="23"/>
    </row>
    <row r="13" customFormat="false" ht="15" hidden="false" customHeight="false" outlineLevel="0" collapsed="false">
      <c r="A13" s="21" t="s">
        <v>1037</v>
      </c>
      <c r="B13" s="14" t="s">
        <v>183</v>
      </c>
      <c r="C13" s="13" t="s">
        <v>1038</v>
      </c>
      <c r="D13" s="36" t="n">
        <v>1.25</v>
      </c>
      <c r="E13" s="46" t="n">
        <v>46307</v>
      </c>
      <c r="F13" s="46" t="n">
        <v>46360</v>
      </c>
      <c r="G13" s="48" t="n">
        <f aca="false">ROUND((F13-E13+1)/7,1)</f>
        <v>7.7</v>
      </c>
      <c r="H13" s="48" t="n">
        <f aca="false">D13*G13</f>
        <v>9.625</v>
      </c>
      <c r="I13" s="23"/>
    </row>
    <row r="14" customFormat="false" ht="15" hidden="false" customHeight="false" outlineLevel="0" collapsed="false">
      <c r="A14" s="22" t="s">
        <v>1039</v>
      </c>
      <c r="B14" s="20" t="s">
        <v>118</v>
      </c>
      <c r="C14" s="19" t="s">
        <v>1024</v>
      </c>
      <c r="D14" s="36" t="n">
        <v>0.25</v>
      </c>
      <c r="E14" s="46" t="n">
        <v>46314</v>
      </c>
      <c r="F14" s="46" t="n">
        <v>46332</v>
      </c>
      <c r="G14" s="49" t="n">
        <f aca="false">ROUND((F14-E14+1)/7,1)</f>
        <v>2.7</v>
      </c>
      <c r="H14" s="49" t="n">
        <f aca="false">D14*G14</f>
        <v>0.675</v>
      </c>
      <c r="I14" s="23"/>
    </row>
    <row r="15" customFormat="false" ht="15" hidden="false" customHeight="false" outlineLevel="0" collapsed="false">
      <c r="A15" s="21" t="s">
        <v>1040</v>
      </c>
      <c r="D15" s="37" t="n">
        <f aca="false">SUM(D5:D14)</f>
        <v>13</v>
      </c>
      <c r="H15" s="50" t="n">
        <f aca="false">SUM(H5:H14)</f>
        <v>136.75</v>
      </c>
    </row>
    <row r="17" customFormat="false" ht="15" hidden="false" customHeight="false" outlineLevel="0" collapsed="false">
      <c r="A17" s="2" t="s">
        <v>1041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2026-10-01T22:52:17Z</dcterms:created>
  <dc:creator>openpyxl</dc:creator>
  <dc:description/>
  <dc:language>en-US</dc:language>
  <cp:lastModifiedBy/>
  <dcterms:modified xsi:type="dcterms:W3CDTF">2026-10-01T22:52:18Z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