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1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Exec Summary" sheetId="2" state="visible" r:id="rId4"/>
    <sheet name="Milestones" sheetId="3" state="visible" r:id="rId5"/>
    <sheet name="Detail Plan" sheetId="4" state="visible" r:id="rId6"/>
    <sheet name="Systems" sheetId="5" state="visible" r:id="rId7"/>
    <sheet name="SR Tracker" sheetId="6" state="visible" r:id="rId8"/>
    <sheet name="RAID" sheetId="7" state="visible" r:id="rId9"/>
    <sheet name="Sandbox Test Plan" sheetId="8" state="visible" r:id="rId10"/>
    <sheet name="Integrations" sheetId="9" state="visible" r:id="rId11"/>
    <sheet name="Vendor Questions" sheetId="10" state="visible" r:id="rId12"/>
    <sheet name="Transport Windows" sheetId="11" state="visible" r:id="rId13"/>
    <sheet name="SAP Teams" sheetId="12" state="visible" r:id="rId14"/>
    <sheet name="Guide Checklist" sheetId="13" state="visible" r:id="rId15"/>
    <sheet name="RACI" sheetId="14" state="visible" r:id="rId16"/>
    <sheet name="Project Calendar" sheetId="15" state="visible" r:id="rId17"/>
    <sheet name="Stream Test Focus" sheetId="16" state="visible" r:id="rId18"/>
    <sheet name="SAP Notes (In-Scope)" sheetId="17" state="visible" r:id="rId19"/>
    <sheet name="Roles" sheetId="18" state="visible" r:id="rId20"/>
    <sheet name="Read Me" sheetId="19" state="visible" r:id="rId21"/>
    <sheet name="Lists" sheetId="20" state="hidden" r:id="rId22"/>
  </sheets>
  <definedNames>
    <definedName function="false" hidden="true" localSheetId="3" name="_xlnm._FilterDatabase" vbProcedure="false">'Detail Plan'!$A$4:$S$92</definedName>
    <definedName function="false" hidden="true" localSheetId="12" name="_xlnm._FilterDatabase" vbProcedure="false">'Guide Checklist'!$A$4:$G$44</definedName>
    <definedName function="false" hidden="true" localSheetId="8" name="_xlnm._FilterDatabase" vbProcedure="false">Integrations!$A$4:$H$17</definedName>
    <definedName function="false" hidden="true" localSheetId="2" name="_xlnm._FilterDatabase" vbProcedure="false">Milestones!$A$4:$H$20</definedName>
    <definedName function="false" hidden="true" localSheetId="14" name="_xlnm._FilterDatabase" vbProcedure="false">'Project Calendar'!$A$4:$E$14</definedName>
    <definedName function="false" hidden="true" localSheetId="6" name="_xlnm._FilterDatabase" vbProcedure="false">RAID!$A$4:$I$38</definedName>
    <definedName function="false" hidden="true" localSheetId="17" name="_xlnm._FilterDatabase" vbProcedure="false">Roles!$A$4:$D$16</definedName>
    <definedName function="false" hidden="true" localSheetId="7" name="_xlnm._FilterDatabase" vbProcedure="false">'Sandbox Test Plan'!$A$4:$I$34</definedName>
    <definedName function="false" hidden="true" localSheetId="16" name="_xlnm._FilterDatabase" vbProcedure="false">'SAP Notes (In-Scope)'!$A$4:$G$150</definedName>
    <definedName function="false" hidden="true" localSheetId="11" name="_xlnm._FilterDatabase" vbProcedure="false">'SAP Teams'!$A$4:$E$8</definedName>
    <definedName function="false" hidden="true" localSheetId="0" name="_xlnm._FilterDatabase" vbProcedure="false">Schedule!$A$4:$K$92</definedName>
    <definedName function="false" hidden="true" localSheetId="5" name="_xlnm._FilterDatabase" vbProcedure="false">'SR Tracker'!$A$4:$J$17</definedName>
    <definedName function="false" hidden="true" localSheetId="15" name="_xlnm._FilterDatabase" vbProcedure="false">'Stream Test Focus'!$A$4:$C$19</definedName>
    <definedName function="false" hidden="true" localSheetId="4" name="_xlnm._FilterDatabase" vbProcedure="false">Systems!$A$4:$N$16</definedName>
    <definedName function="false" hidden="true" localSheetId="10" name="_xlnm._FilterDatabase" vbProcedure="false">'Transport Windows'!$A$4:$D$9</definedName>
    <definedName function="false" hidden="true" localSheetId="9" name="_xlnm._FilterDatabase" vbProcedure="false">'Vendor Questions'!$A$4:$G$26</definedName>
    <definedName function="false" hidden="false" name="AsOf" vbProcedure="false">'Exec Summary'!$B$5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Edit daily on task and gate rows (drop-down). Phase rows roll up automatically.</t>
        </r>
      </text>
    </comment>
    <comment ref="H4" authorId="0">
      <text>
        <r>
          <rPr>
            <sz val="10"/>
            <rFont val="Arial"/>
            <family val="2"/>
          </rPr>
          <t xml:space="preserve">Calculated: 100% when Complete, 0% when Not Started; for open tasks the share of planned days elapsed by the As-of date (max 90%). Type over it with an actual figure if you prefer.</t>
        </r>
      </text>
    </comment>
    <comment ref="I4" authorId="0">
      <text>
        <r>
          <rPr>
            <sz val="10"/>
            <rFont val="Arial"/>
            <family val="2"/>
          </rPr>
          <t xml:space="preserve">MS Project notation: 2.4 = finish-to-start; 2.4SS = start-to-start.</t>
        </r>
      </text>
    </comment>
    <comment ref="J4" authorId="0">
      <text>
        <r>
          <rPr>
            <sz val="10"/>
            <rFont val="Arial"/>
            <family val="2"/>
          </rPr>
          <t xml:space="preserve">Rows in the Detail Plan tab that this step groups.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Set to the date of this update. Overdue and % complete are calculated from it.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4" authorId="0">
      <text>
        <r>
          <rPr>
            <sz val="10"/>
            <rFont val="Arial"/>
            <family val="2"/>
          </rPr>
          <t xml:space="preserve">Follows the Schedule row in column B. Update status on the Schedule tab.</t>
        </r>
      </text>
    </comment>
  </commentList>
</comments>
</file>

<file path=xl/sharedStrings.xml><?xml version="1.0" encoding="utf-8"?>
<sst xmlns="http://schemas.openxmlformats.org/spreadsheetml/2006/main" count="4878" uniqueCount="2343">
  <si>
    <t xml:space="preserve">Project NorthStar - SAP S/4HANA 2023 SPS06 upgrade schedule</t>
  </si>
  <si>
    <t xml:space="preserve">ID</t>
  </si>
  <si>
    <t xml:space="preserve">Task</t>
  </si>
  <si>
    <t xml:space="preserve">Team</t>
  </si>
  <si>
    <t xml:space="preserve">Days</t>
  </si>
  <si>
    <t xml:space="preserve">Start</t>
  </si>
  <si>
    <t xml:space="preserve">Finish</t>
  </si>
  <si>
    <t xml:space="preserve">Status</t>
  </si>
  <si>
    <t xml:space="preserve">% Complete</t>
  </si>
  <si>
    <t xml:space="preserve">Predecessors</t>
  </si>
  <si>
    <t xml:space="preserve">Detail tasks</t>
  </si>
  <si>
    <t xml:space="preserve">Type</t>
  </si>
  <si>
    <t xml:space="preserve">0</t>
  </si>
  <si>
    <t xml:space="preserve">Start-up</t>
  </si>
  <si>
    <t xml:space="preserve">Summary</t>
  </si>
  <si>
    <t xml:space="preserve">0.1</t>
  </si>
  <si>
    <t xml:space="preserve">Triage SAP side-effect notes</t>
  </si>
  <si>
    <t xml:space="preserve">PwC Tech</t>
  </si>
  <si>
    <t xml:space="preserve">Complete</t>
  </si>
  <si>
    <t xml:space="preserve">H.4</t>
  </si>
  <si>
    <t xml:space="preserve">0.2</t>
  </si>
  <si>
    <t xml:space="preserve">Plan XS4 stack and request update</t>
  </si>
  <si>
    <t xml:space="preserve">INTL Basis</t>
  </si>
  <si>
    <t xml:space="preserve">H.1, H.2</t>
  </si>
  <si>
    <t xml:space="preserve">0.3</t>
  </si>
  <si>
    <t xml:space="preserve">Close first XS4 update run (SUM reset)</t>
  </si>
  <si>
    <t xml:space="preserve">SAP ECS</t>
  </si>
  <si>
    <t xml:space="preserve">H.3</t>
  </si>
  <si>
    <t xml:space="preserve">0.4</t>
  </si>
  <si>
    <t xml:space="preserve">◆ Approach set: Sandbox = copy of DS4</t>
  </si>
  <si>
    <t xml:space="preserve">H.5</t>
  </si>
  <si>
    <t xml:space="preserve">Milestone</t>
  </si>
  <si>
    <t xml:space="preserve">1</t>
  </si>
  <si>
    <t xml:space="preserve">Prepare Sandbox</t>
  </si>
  <si>
    <t xml:space="preserve">1.1</t>
  </si>
  <si>
    <t xml:space="preserve">Align plan with PwC Tech</t>
  </si>
  <si>
    <t xml:space="preserve">0.01a</t>
  </si>
  <si>
    <t xml:space="preserve">1.2</t>
  </si>
  <si>
    <t xml:space="preserve">Review plan (functional streams)</t>
  </si>
  <si>
    <t xml:space="preserve">PwC Functional</t>
  </si>
  <si>
    <t xml:space="preserve">On Track</t>
  </si>
  <si>
    <t xml:space="preserve">0.01b</t>
  </si>
  <si>
    <t xml:space="preserve">1.3</t>
  </si>
  <si>
    <t xml:space="preserve">Implement SAP Notes in DS4</t>
  </si>
  <si>
    <t xml:space="preserve">0.02</t>
  </si>
  <si>
    <t xml:space="preserve">1.4</t>
  </si>
  <si>
    <t xml:space="preserve">Request DS4 to XS4 copy from ECS</t>
  </si>
  <si>
    <t xml:space="preserve">0.04a</t>
  </si>
  <si>
    <t xml:space="preserve">1.5</t>
  </si>
  <si>
    <t xml:space="preserve">Create Maintenance Planner plans</t>
  </si>
  <si>
    <t xml:space="preserve">0.05</t>
  </si>
  <si>
    <t xml:space="preserve">1.6</t>
  </si>
  <si>
    <t xml:space="preserve">Run SI-check and pre-checks</t>
  </si>
  <si>
    <t xml:space="preserve">0.03, 0.16</t>
  </si>
  <si>
    <t xml:space="preserve">1.7</t>
  </si>
  <si>
    <t xml:space="preserve">Approve plan at Steering</t>
  </si>
  <si>
    <t xml:space="preserve">INTL PMO</t>
  </si>
  <si>
    <t xml:space="preserve">Not Started</t>
  </si>
  <si>
    <t xml:space="preserve">0.01</t>
  </si>
  <si>
    <t xml:space="preserve">1.8</t>
  </si>
  <si>
    <t xml:space="preserve">Request remaining copies and upgrades</t>
  </si>
  <si>
    <t xml:space="preserve">0.04, 0.06</t>
  </si>
  <si>
    <t xml:space="preserve">1.9</t>
  </si>
  <si>
    <t xml:space="preserve">Prepare copy isolation checklist</t>
  </si>
  <si>
    <t xml:space="preserve">0.10</t>
  </si>
  <si>
    <t xml:space="preserve">1.10</t>
  </si>
  <si>
    <t xml:space="preserve">Line up SAP support and on-call</t>
  </si>
  <si>
    <t xml:space="preserve">0.07, 0.08, 0.09</t>
  </si>
  <si>
    <t xml:space="preserve">1.11</t>
  </si>
  <si>
    <t xml:space="preserve">Send vendor questions</t>
  </si>
  <si>
    <t xml:space="preserve">0.11</t>
  </si>
  <si>
    <t xml:space="preserve">1.12</t>
  </si>
  <si>
    <t xml:space="preserve">Check custom code (ATC)</t>
  </si>
  <si>
    <t xml:space="preserve">0.13, 0.14</t>
  </si>
  <si>
    <t xml:space="preserve">1.13</t>
  </si>
  <si>
    <t xml:space="preserve">Assess Fiori app impact</t>
  </si>
  <si>
    <t xml:space="preserve">0.17, 0.18</t>
  </si>
  <si>
    <t xml:space="preserve">1.14</t>
  </si>
  <si>
    <t xml:space="preserve">Create data-migration users (SDMI)</t>
  </si>
  <si>
    <t xml:space="preserve">INTL Security</t>
  </si>
  <si>
    <t xml:space="preserve">0.15</t>
  </si>
  <si>
    <t xml:space="preserve">1.15</t>
  </si>
  <si>
    <t xml:space="preserve">Prepare CFIN/SLT and GTS runbooks</t>
  </si>
  <si>
    <t xml:space="preserve">0.19, 0.20</t>
  </si>
  <si>
    <t xml:space="preserve">1.16</t>
  </si>
  <si>
    <t xml:space="preserve">Agree Mock3 rules with Syniti</t>
  </si>
  <si>
    <t xml:space="preserve">PwC Data Migration</t>
  </si>
  <si>
    <t xml:space="preserve">0.21</t>
  </si>
  <si>
    <t xml:space="preserve">1.17</t>
  </si>
  <si>
    <t xml:space="preserve">Publish transport rules</t>
  </si>
  <si>
    <t xml:space="preserve">0.12</t>
  </si>
  <si>
    <t xml:space="preserve">1.18</t>
  </si>
  <si>
    <t xml:space="preserve">Tag regression scripts</t>
  </si>
  <si>
    <t xml:space="preserve">INTL Testing</t>
  </si>
  <si>
    <t xml:space="preserve">0.22</t>
  </si>
  <si>
    <t xml:space="preserve">1.19</t>
  </si>
  <si>
    <t xml:space="preserve">◆ G0 Ready for Sandbox</t>
  </si>
  <si>
    <t xml:space="preserve">1.3, 1.4, 1.5, 1.6, 1.7, 1.8, 1.9</t>
  </si>
  <si>
    <t xml:space="preserve">G0</t>
  </si>
  <si>
    <t xml:space="preserve">2</t>
  </si>
  <si>
    <t xml:space="preserve">Sandbox XS4</t>
  </si>
  <si>
    <t xml:space="preserve">2.1</t>
  </si>
  <si>
    <t xml:space="preserve">Copy DS4 to XS4</t>
  </si>
  <si>
    <t xml:space="preserve">1.3, 1.4</t>
  </si>
  <si>
    <t xml:space="preserve">1.01</t>
  </si>
  <si>
    <t xml:space="preserve">2.2</t>
  </si>
  <si>
    <t xml:space="preserve">Isolate XS4</t>
  </si>
  <si>
    <t xml:space="preserve">2.1, 1.9</t>
  </si>
  <si>
    <t xml:space="preserve">1.02</t>
  </si>
  <si>
    <t xml:space="preserve">2.3</t>
  </si>
  <si>
    <t xml:space="preserve">Check notes and resubmit SUM request</t>
  </si>
  <si>
    <t xml:space="preserve">1.03</t>
  </si>
  <si>
    <t xml:space="preserve">2.4</t>
  </si>
  <si>
    <t xml:space="preserve">Upgrade XS4 (downtime Sat 24 Oct)</t>
  </si>
  <si>
    <t xml:space="preserve">2.3, 1.19</t>
  </si>
  <si>
    <t xml:space="preserve">1.04</t>
  </si>
  <si>
    <t xml:space="preserve">2.5</t>
  </si>
  <si>
    <t xml:space="preserve">Adjust custom code (SPDD/SPAU)</t>
  </si>
  <si>
    <t xml:space="preserve">2.4SS</t>
  </si>
  <si>
    <t xml:space="preserve">1.05</t>
  </si>
  <si>
    <t xml:space="preserve">2.6</t>
  </si>
  <si>
    <t xml:space="preserve">Run technical and Fiori checks</t>
  </si>
  <si>
    <t xml:space="preserve">1.06, 1.07</t>
  </si>
  <si>
    <t xml:space="preserve">2.7</t>
  </si>
  <si>
    <t xml:space="preserve">Update roles (SU25, GRC)</t>
  </si>
  <si>
    <t xml:space="preserve">1.08</t>
  </si>
  <si>
    <t xml:space="preserve">2.8</t>
  </si>
  <si>
    <t xml:space="preserve">Trial SAP note bundle</t>
  </si>
  <si>
    <t xml:space="preserve">1.09</t>
  </si>
  <si>
    <t xml:space="preserve">2.9</t>
  </si>
  <si>
    <t xml:space="preserve">Test Sandbox (30 tests)</t>
  </si>
  <si>
    <t xml:space="preserve">2.10</t>
  </si>
  <si>
    <t xml:space="preserve">Confirm upgrade windows with ECS</t>
  </si>
  <si>
    <t xml:space="preserve">2.11</t>
  </si>
  <si>
    <t xml:space="preserve">◆ G1 Sandbox sign-off</t>
  </si>
  <si>
    <t xml:space="preserve">2.5, 2.6, 2.7, 2.8, 2.9, 2.10</t>
  </si>
  <si>
    <t xml:space="preserve">G1</t>
  </si>
  <si>
    <t xml:space="preserve">3</t>
  </si>
  <si>
    <t xml:space="preserve">Development DS4 (+ DS5 copy)</t>
  </si>
  <si>
    <t xml:space="preserve">3.1</t>
  </si>
  <si>
    <t xml:space="preserve">Copy DS4 to DS5 (fallback)</t>
  </si>
  <si>
    <t xml:space="preserve">2.01</t>
  </si>
  <si>
    <t xml:space="preserve">3.2</t>
  </si>
  <si>
    <t xml:space="preserve">Open DS5 for fixes</t>
  </si>
  <si>
    <t xml:space="preserve">2.02</t>
  </si>
  <si>
    <t xml:space="preserve">3.3</t>
  </si>
  <si>
    <t xml:space="preserve">Freeze DS4 transports</t>
  </si>
  <si>
    <t xml:space="preserve">2.03</t>
  </si>
  <si>
    <t xml:space="preserve">3.4</t>
  </si>
  <si>
    <t xml:space="preserve">Upgrade DS4 (downtime Sat 31 Oct)</t>
  </si>
  <si>
    <t xml:space="preserve">2.04</t>
  </si>
  <si>
    <t xml:space="preserve">3.5</t>
  </si>
  <si>
    <t xml:space="preserve">3.4SS</t>
  </si>
  <si>
    <t xml:space="preserve">2.05</t>
  </si>
  <si>
    <t xml:space="preserve">3.6</t>
  </si>
  <si>
    <t xml:space="preserve">Run technical checks</t>
  </si>
  <si>
    <t xml:space="preserve">2.06</t>
  </si>
  <si>
    <t xml:space="preserve">3.7</t>
  </si>
  <si>
    <t xml:space="preserve">Update roles</t>
  </si>
  <si>
    <t xml:space="preserve">2.07</t>
  </si>
  <si>
    <t xml:space="preserve">3.8</t>
  </si>
  <si>
    <t xml:space="preserve">Apply notes and unit test</t>
  </si>
  <si>
    <t xml:space="preserve">2.08</t>
  </si>
  <si>
    <t xml:space="preserve">3.9</t>
  </si>
  <si>
    <t xml:space="preserve">Test integrations in Dev</t>
  </si>
  <si>
    <t xml:space="preserve">2.09</t>
  </si>
  <si>
    <t xml:space="preserve">3.10</t>
  </si>
  <si>
    <t xml:space="preserve">Keep DS5 and DS4 in sync</t>
  </si>
  <si>
    <t xml:space="preserve">3.11</t>
  </si>
  <si>
    <t xml:space="preserve">◆ G2 Dev ready</t>
  </si>
  <si>
    <t xml:space="preserve">3.5, 3.6, 3.7, 3.8, 3.9</t>
  </si>
  <si>
    <t xml:space="preserve">G2</t>
  </si>
  <si>
    <t xml:space="preserve">4</t>
  </si>
  <si>
    <t xml:space="preserve">QA QS4 (+ QS5 copy)</t>
  </si>
  <si>
    <t xml:space="preserve">4.1</t>
  </si>
  <si>
    <t xml:space="preserve">Copy QS4 to QS5 (fallback)</t>
  </si>
  <si>
    <t xml:space="preserve">3.01</t>
  </si>
  <si>
    <t xml:space="preserve">4.2</t>
  </si>
  <si>
    <t xml:space="preserve">Isolate QS5</t>
  </si>
  <si>
    <t xml:space="preserve">3.02</t>
  </si>
  <si>
    <t xml:space="preserve">4.3</t>
  </si>
  <si>
    <t xml:space="preserve">Close SIT2 and freeze results</t>
  </si>
  <si>
    <t xml:space="preserve">3.03</t>
  </si>
  <si>
    <t xml:space="preserve">4.4</t>
  </si>
  <si>
    <t xml:space="preserve">Pause QS4 interfaces</t>
  </si>
  <si>
    <t xml:space="preserve">3.04</t>
  </si>
  <si>
    <t xml:space="preserve">4.5</t>
  </si>
  <si>
    <t xml:space="preserve">Upgrade QS4 (downtime Sat 7 Nov)</t>
  </si>
  <si>
    <t xml:space="preserve">3.05</t>
  </si>
  <si>
    <t xml:space="preserve">4.6</t>
  </si>
  <si>
    <t xml:space="preserve">3.06</t>
  </si>
  <si>
    <t xml:space="preserve">4.7</t>
  </si>
  <si>
    <t xml:space="preserve">Resume CFIN, GTS and BTP links</t>
  </si>
  <si>
    <t xml:space="preserve">3.07</t>
  </si>
  <si>
    <t xml:space="preserve">4.8</t>
  </si>
  <si>
    <t xml:space="preserve">Run regression (P1 scripts)</t>
  </si>
  <si>
    <t xml:space="preserve">4.7, 4.3</t>
  </si>
  <si>
    <t xml:space="preserve">3.08</t>
  </si>
  <si>
    <t xml:space="preserve">4.9</t>
  </si>
  <si>
    <t xml:space="preserve">Test security</t>
  </si>
  <si>
    <t xml:space="preserve">3.09</t>
  </si>
  <si>
    <t xml:space="preserve">4.10</t>
  </si>
  <si>
    <t xml:space="preserve">Validate data loads (Syniti)</t>
  </si>
  <si>
    <t xml:space="preserve">4.11</t>
  </si>
  <si>
    <t xml:space="preserve">Ready QS5 as fallback</t>
  </si>
  <si>
    <t xml:space="preserve">4.12</t>
  </si>
  <si>
    <t xml:space="preserve">Fix and retest defects</t>
  </si>
  <si>
    <t xml:space="preserve">4.8SS</t>
  </si>
  <si>
    <t xml:space="preserve">3.12</t>
  </si>
  <si>
    <t xml:space="preserve">4.13</t>
  </si>
  <si>
    <t xml:space="preserve">◆ G3 Go for pre-production</t>
  </si>
  <si>
    <t xml:space="preserve">4.5, 4.6, 4.7, 4.8, 4.9, 4.10, 4.11, 4.12</t>
  </si>
  <si>
    <t xml:space="preserve">G3</t>
  </si>
  <si>
    <t xml:space="preserve">5</t>
  </si>
  <si>
    <t xml:space="preserve">Pre-production SS4</t>
  </si>
  <si>
    <t xml:space="preserve">5.1</t>
  </si>
  <si>
    <t xml:space="preserve">Run UAT week 1 (FPS02)</t>
  </si>
  <si>
    <t xml:space="preserve">Business (UAT)</t>
  </si>
  <si>
    <t xml:space="preserve">4.01</t>
  </si>
  <si>
    <t xml:space="preserve">5.2</t>
  </si>
  <si>
    <t xml:space="preserve">Pause SS4 interfaces</t>
  </si>
  <si>
    <t xml:space="preserve">4.02</t>
  </si>
  <si>
    <t xml:space="preserve">5.3</t>
  </si>
  <si>
    <t xml:space="preserve">Upgrade SS4 (downtime Fri-Sat 13-14 Nov)</t>
  </si>
  <si>
    <t xml:space="preserve">4.03</t>
  </si>
  <si>
    <t xml:space="preserve">5.4</t>
  </si>
  <si>
    <t xml:space="preserve">5.3SS</t>
  </si>
  <si>
    <t xml:space="preserve">4.04</t>
  </si>
  <si>
    <t xml:space="preserve">5.5</t>
  </si>
  <si>
    <t xml:space="preserve">Resume and verify interfaces</t>
  </si>
  <si>
    <t xml:space="preserve">4.05</t>
  </si>
  <si>
    <t xml:space="preserve">5.6</t>
  </si>
  <si>
    <t xml:space="preserve">Run UAT weeks 2-4 (SPS06)</t>
  </si>
  <si>
    <t xml:space="preserve">4.06</t>
  </si>
  <si>
    <t xml:space="preserve">5.7</t>
  </si>
  <si>
    <t xml:space="preserve">Check performance</t>
  </si>
  <si>
    <t xml:space="preserve">4.07</t>
  </si>
  <si>
    <t xml:space="preserve">5.8</t>
  </si>
  <si>
    <t xml:space="preserve">◆ G4 Go for production</t>
  </si>
  <si>
    <t xml:space="preserve">5.4, 5.5, 5.7</t>
  </si>
  <si>
    <t xml:space="preserve">G4</t>
  </si>
  <si>
    <t xml:space="preserve">6</t>
  </si>
  <si>
    <t xml:space="preserve">Production PS4</t>
  </si>
  <si>
    <t xml:space="preserve">6.1</t>
  </si>
  <si>
    <t xml:space="preserve">Hold PS4 transports</t>
  </si>
  <si>
    <t xml:space="preserve">5.01</t>
  </si>
  <si>
    <t xml:space="preserve">6.2</t>
  </si>
  <si>
    <t xml:space="preserve">Upgrade PS4 (downtime Fri-Sat 20-21 Nov)</t>
  </si>
  <si>
    <t xml:space="preserve">5.02</t>
  </si>
  <si>
    <t xml:space="preserve">6.3</t>
  </si>
  <si>
    <t xml:space="preserve">6.2SS</t>
  </si>
  <si>
    <t xml:space="preserve">5.03</t>
  </si>
  <si>
    <t xml:space="preserve">6.4</t>
  </si>
  <si>
    <t xml:space="preserve">Verify connections</t>
  </si>
  <si>
    <t xml:space="preserve">5.04</t>
  </si>
  <si>
    <t xml:space="preserve">6.5</t>
  </si>
  <si>
    <t xml:space="preserve">◆ G5 Upgrade closed</t>
  </si>
  <si>
    <t xml:space="preserve">6.3, 6.4</t>
  </si>
  <si>
    <t xml:space="preserve">G5</t>
  </si>
  <si>
    <t xml:space="preserve">7</t>
  </si>
  <si>
    <t xml:space="preserve">N+1 DS5 / QS5</t>
  </si>
  <si>
    <t xml:space="preserve">7.1</t>
  </si>
  <si>
    <t xml:space="preserve">Upgrade DS5</t>
  </si>
  <si>
    <t xml:space="preserve">6.01</t>
  </si>
  <si>
    <t xml:space="preserve">7.2</t>
  </si>
  <si>
    <t xml:space="preserve">Upgrade QS5</t>
  </si>
  <si>
    <t xml:space="preserve">6.02</t>
  </si>
  <si>
    <t xml:space="preserve">7.3</t>
  </si>
  <si>
    <t xml:space="preserve">Retrofit and reconnect N+1</t>
  </si>
  <si>
    <t xml:space="preserve">6.03</t>
  </si>
  <si>
    <t xml:space="preserve">8</t>
  </si>
  <si>
    <t xml:space="preserve">Close-out</t>
  </si>
  <si>
    <t xml:space="preserve">8.1</t>
  </si>
  <si>
    <t xml:space="preserve">Confirm data migrations finished (SDMI)</t>
  </si>
  <si>
    <t xml:space="preserve">7.03</t>
  </si>
  <si>
    <t xml:space="preserve">8.2</t>
  </si>
  <si>
    <t xml:space="preserve">Close out the upgrade</t>
  </si>
  <si>
    <t xml:space="preserve">7.04</t>
  </si>
  <si>
    <t xml:space="preserve">8.3</t>
  </si>
  <si>
    <t xml:space="preserve">Watch new side-effect notes weekly</t>
  </si>
  <si>
    <t xml:space="preserve">7.01</t>
  </si>
  <si>
    <t xml:space="preserve">8.4</t>
  </si>
  <si>
    <t xml:space="preserve">Support cutover on SPS06</t>
  </si>
  <si>
    <t xml:space="preserve">7.02</t>
  </si>
  <si>
    <t xml:space="preserve">8.5</t>
  </si>
  <si>
    <t xml:space="preserve">Decide obsolete-data handling</t>
  </si>
  <si>
    <t xml:space="preserve">7.05</t>
  </si>
  <si>
    <t xml:space="preserve">How to read the bars</t>
  </si>
  <si>
    <t xml:space="preserve">Phase</t>
  </si>
  <si>
    <t xml:space="preserve">In progress: elapsed</t>
  </si>
  <si>
    <t xml:space="preserve">In progress: remaining</t>
  </si>
  <si>
    <t xml:space="preserve">Planned</t>
  </si>
  <si>
    <t xml:space="preserve">At risk</t>
  </si>
  <si>
    <t xml:space="preserve">Blocked</t>
  </si>
  <si>
    <t xml:space="preserve">As-of date</t>
  </si>
  <si>
    <t xml:space="preserve">Weekend</t>
  </si>
  <si>
    <t xml:space="preserve">◆</t>
  </si>
  <si>
    <t xml:space="preserve">Gate or milestone (green when complete)</t>
  </si>
  <si>
    <t xml:space="preserve">Days are calendar days. Upgrade downtimes are on weekends; dates in the task name.</t>
  </si>
  <si>
    <t xml:space="preserve">Executive summary</t>
  </si>
  <si>
    <t xml:space="preserve">Edit the yellow cells daily, save, then load this file in the dashboard ("Update data"). The dashboard headline comes from here.</t>
  </si>
  <si>
    <t xml:space="preserve">Item</t>
  </si>
  <si>
    <t xml:space="preserve">Value</t>
  </si>
  <si>
    <t xml:space="preserve">As of</t>
  </si>
  <si>
    <t xml:space="preserve">Overall status</t>
  </si>
  <si>
    <t xml:space="preserve">Headline</t>
  </si>
  <si>
    <t xml:space="preserve">Sandbox preparation is completing on plan. XS4 is copied from DS4 on Wed 21 - Thu 22 Oct and upgraded on Sat 24 Oct.</t>
  </si>
  <si>
    <t xml:space="preserve">Key message 1</t>
  </si>
  <si>
    <t xml:space="preserve">Done: SAP Notes in DS4, ECS copy request raised, Maintenance Planner plans for every system.</t>
  </si>
  <si>
    <t xml:space="preserve">Key message 2</t>
  </si>
  <si>
    <t xml:space="preserve">PwC Tech team aligned; PwC Functional team reviewing the plan before Steering on Tue 20 Oct.</t>
  </si>
  <si>
    <t xml:space="preserve">Key message 3</t>
  </si>
  <si>
    <t xml:space="preserve">Production upgrade Sat 21 Nov, before cutover (7 Dec) and go-live (1 Jan 2027).</t>
  </si>
  <si>
    <t xml:space="preserve">History note</t>
  </si>
  <si>
    <t xml:space="preserve">Thu 15 Oct: approach changed - the Sandbox (XS4) is rebuilt as a copy of DS4 before its upgrade.</t>
  </si>
  <si>
    <t xml:space="preserve">Project</t>
  </si>
  <si>
    <t xml:space="preserve">Project NorthStar</t>
  </si>
  <si>
    <t xml:space="preserve">Upgrade</t>
  </si>
  <si>
    <t xml:space="preserve">SAP S/4HANA 2023 FPS02 to SPS06 (RISE with SAP, Private Cloud)</t>
  </si>
  <si>
    <t xml:space="preserve">Plan version</t>
  </si>
  <si>
    <t xml:space="preserve">v4.0 (18 Oct 2026)</t>
  </si>
  <si>
    <t xml:space="preserve">Plan owner</t>
  </si>
  <si>
    <t xml:space="preserve">Girish Ogirala (INTL Basis)</t>
  </si>
  <si>
    <t xml:space="preserve">Go-live</t>
  </si>
  <si>
    <t xml:space="preserve">Team alignment</t>
  </si>
  <si>
    <t xml:space="preserve">Plan alignment</t>
  </si>
  <si>
    <t xml:space="preserve">Next step</t>
  </si>
  <si>
    <t xml:space="preserve">SI-check in DS4 and QS4; isolation checklist; remaining ECS requests Mon 19 Oct</t>
  </si>
  <si>
    <t xml:space="preserve">Aligned</t>
  </si>
  <si>
    <t xml:space="preserve">Custom code check (ATC) and Fiori impact from Mon 19 Oct</t>
  </si>
  <si>
    <t xml:space="preserve">Reviewing</t>
  </si>
  <si>
    <t xml:space="preserve">Review complete Mon 19 Oct; CFIN/SLT and GTS runbooks</t>
  </si>
  <si>
    <t xml:space="preserve">Copy request raised</t>
  </si>
  <si>
    <t xml:space="preserve">Copy DS4 to XS4 Wed 21 - Thu 22 Oct; XS4 upgrade Sat 24 Oct</t>
  </si>
  <si>
    <t xml:space="preserve">Asks of leadership</t>
  </si>
  <si>
    <t xml:space="preserve">Ask</t>
  </si>
  <si>
    <t xml:space="preserve">Detail</t>
  </si>
  <si>
    <t xml:space="preserve">By</t>
  </si>
  <si>
    <t xml:space="preserve">From</t>
  </si>
  <si>
    <t xml:space="preserve">Approve the upgrade plan</t>
  </si>
  <si>
    <t xml:space="preserve">Copy approach, five weekend upgrade windows (24 Oct - 21 Nov), gates G0-G5, Plan B/C</t>
  </si>
  <si>
    <t xml:space="preserve">Steering</t>
  </si>
  <si>
    <t xml:space="preserve">Confirm weekend cover</t>
  </si>
  <si>
    <t xml:space="preserve">SAP MaxAttention, ECS and the on-call rota for the weekends 24 Oct - 22 Nov</t>
  </si>
  <si>
    <t xml:space="preserve">Steering / INTL Basis</t>
  </si>
  <si>
    <t xml:space="preserve">Plan numbers (calculated from Schedule)</t>
  </si>
  <si>
    <t xml:space="preserve">Tasks and gates</t>
  </si>
  <si>
    <t xml:space="preserve">At Risk</t>
  </si>
  <si>
    <t xml:space="preserve">Overdue</t>
  </si>
  <si>
    <t xml:space="preserve">Next gate date</t>
  </si>
  <si>
    <t xml:space="preserve">Next gate</t>
  </si>
  <si>
    <t xml:space="preserve">Milestones and gates</t>
  </si>
  <si>
    <t xml:space="preserve">Gate and upgrade rows take their status from the Schedule (column H). Project rows are context from the Plan on a Page.</t>
  </si>
  <si>
    <t xml:space="preserve">Date</t>
  </si>
  <si>
    <t xml:space="preserve">Criteria / notes</t>
  </si>
  <si>
    <t xml:space="preserve">Decision owner</t>
  </si>
  <si>
    <t xml:space="preserve">Schedule ID</t>
  </si>
  <si>
    <t xml:space="preserve">Ready for Sandbox</t>
  </si>
  <si>
    <t xml:space="preserve">Gate</t>
  </si>
  <si>
    <t xml:space="preserve">Notes 2399707/2502552 in DS4 and transported; SI-check RC &lt; 8 in DS4 and QS4; SRs accepted with windows; MPID per system; copy isolation checklist signed</t>
  </si>
  <si>
    <t xml:space="preserve">INTL PMO (Steering)</t>
  </si>
  <si>
    <t xml:space="preserve">XS4</t>
  </si>
  <si>
    <t xml:space="preserve">Sandbox XS4 on SPS06</t>
  </si>
  <si>
    <t xml:space="preserve">Downtime Sat 24 Oct, Sun 25 contingency</t>
  </si>
  <si>
    <t xml:space="preserve">SAP ECS / INTL Basis</t>
  </si>
  <si>
    <t xml:space="preserve">Sandbox sign-off</t>
  </si>
  <si>
    <t xml:space="preserve">XS4 upgrade clean; Sandbox Test Plan "Yes" items passed; SPDD/SPAU and note effort sized; downtime measured; vendor answers received or tracked</t>
  </si>
  <si>
    <t xml:space="preserve">DS4</t>
  </si>
  <si>
    <t xml:space="preserve">Development DS4 on SPS06</t>
  </si>
  <si>
    <t xml:space="preserve">Downtime Sat 31 Oct, Sun 1 Nov contingency; DS5 live as temporary Dev</t>
  </si>
  <si>
    <t xml:space="preserve">Dev ready</t>
  </si>
  <si>
    <t xml:space="preserve">SPDD/SPAU, note and role transports released; no blocking unit-test failure; zero priority-1 ATC findings</t>
  </si>
  <si>
    <t xml:space="preserve">SIT2</t>
  </si>
  <si>
    <t xml:space="preserve">SIT2 ends (QS4-200)</t>
  </si>
  <si>
    <t xml:space="preserve">Plan on a Page</t>
  </si>
  <si>
    <t xml:space="preserve">-</t>
  </si>
  <si>
    <t xml:space="preserve">QS4</t>
  </si>
  <si>
    <t xml:space="preserve">QA QS4 on SPS06</t>
  </si>
  <si>
    <t xml:space="preserve">Downtime Sat 7 Nov, Sun 8 contingency</t>
  </si>
  <si>
    <t xml:space="preserve">Go for pre-production</t>
  </si>
  <si>
    <t xml:space="preserve">P1 re-run &gt;= 95% pass; zero open Sev1/Sev2 upgrade defects; CFIN, GTS, BTP integrations green; security passed; migration objects load on SPS06</t>
  </si>
  <si>
    <t xml:space="preserve">SS4</t>
  </si>
  <si>
    <t xml:space="preserve">Pre-production SS4 on SPS06</t>
  </si>
  <si>
    <t xml:space="preserve">Downtime Fri night 13 - Sat 14 Nov, Sun 15 contingency</t>
  </si>
  <si>
    <t xml:space="preserve">Go for production</t>
  </si>
  <si>
    <t xml:space="preserve">SS4 stable; UAT running on SPS06 without upgrade blockers; performance delta acceptable; legacy end-to-end OK</t>
  </si>
  <si>
    <t xml:space="preserve">PS4</t>
  </si>
  <si>
    <t xml:space="preserve">Production PS4 on SPS06</t>
  </si>
  <si>
    <t xml:space="preserve">Downtime Fri night 20 - Sat 21 Nov, Sun 22 contingency</t>
  </si>
  <si>
    <t xml:space="preserve">Upgrade closed</t>
  </si>
  <si>
    <t xml:space="preserve">PS4 technical verification signed; UAT clean on SPS06; open items handed to Go/No-Go</t>
  </si>
  <si>
    <t xml:space="preserve">INTL PMO -&gt; Go/No-Go board</t>
  </si>
  <si>
    <t xml:space="preserve">GNG</t>
  </si>
  <si>
    <t xml:space="preserve">Go / No-Go (30 Nov - 4 Dec)</t>
  </si>
  <si>
    <t xml:space="preserve">Plan on a Page (at UAT end)</t>
  </si>
  <si>
    <t xml:space="preserve">N+1</t>
  </si>
  <si>
    <t xml:space="preserve">DS5 / QS5 on SPS06</t>
  </si>
  <si>
    <t xml:space="preserve">DS5 Tue 1 Dec, QS5 Thu 3 Dec</t>
  </si>
  <si>
    <t xml:space="preserve">CUT</t>
  </si>
  <si>
    <t xml:space="preserve">Cutover starts (7 - 31 Dec)</t>
  </si>
  <si>
    <t xml:space="preserve">GL</t>
  </si>
  <si>
    <t xml:space="preserve">Plan B</t>
  </si>
  <si>
    <t xml:space="preserve">Plan B (ECS cannot meet a window, or G1 fails): shift the chain by one week - XS4 31 Oct, DS4 7 Nov (after SIT2, so DS5 is not needed for SIT2 fixes), QS4 14 Nov, SS4 21 Nov, PS4 28 Nov (Thanksgiving weekend). G5 moves to Wed 2 Dec, inside the Go/No-Go week; UAT weeks 1-2 run on FPS02 and weeks 3-4 on SPS06.</t>
  </si>
  <si>
    <t xml:space="preserve">Plan C</t>
  </si>
  <si>
    <t xml:space="preserve">Plan C (G3 fails): SS4 and PS4 stay on FPS02 and go live on FPS02. DS5 and QS5 (FPS02 copies) become the delivery line for fixes to SS4 and PS4; DS4 and QS4 stay on SPS06 as the post-go-live upgrade line. Remaining systems are upgraded after hypercare.</t>
  </si>
  <si>
    <t xml:space="preserve">Detail plan</t>
  </si>
  <si>
    <t xml:space="preserve">Reference detail behind each Schedule row. Status follows the Schedule (column B = Schedule ID). R = Responsible, A = Accountable, C = Consulted. Days = calendar days.</t>
  </si>
  <si>
    <t xml:space="preserve">Workstream</t>
  </si>
  <si>
    <t xml:space="preserve">System(s)</t>
  </si>
  <si>
    <t xml:space="preserve">End</t>
  </si>
  <si>
    <t xml:space="preserve">Responsible</t>
  </si>
  <si>
    <t xml:space="preserve">Accountable</t>
  </si>
  <si>
    <t xml:space="preserve">Consulted</t>
  </si>
  <si>
    <t xml:space="preserve">Depends on</t>
  </si>
  <si>
    <t xml:space="preserve">Deliverable / exit</t>
  </si>
  <si>
    <t xml:space="preserve">Source</t>
  </si>
  <si>
    <t xml:space="preserve">Notes</t>
  </si>
  <si>
    <t xml:space="preserve">BPMN node</t>
  </si>
  <si>
    <t xml:space="preserve">H.1</t>
  </si>
  <si>
    <t xml:space="preserve">P0 Prepare Sandbox &amp; prerequisites</t>
  </si>
  <si>
    <t xml:space="preserve">TEC - Technical upgrade (Basis / ECS)</t>
  </si>
  <si>
    <t xml:space="preserve">Maintenance Planner transaction 1002693650 for XS4 (target SAP S/4HANA 2023 SPS06, SUM 2.0 SP26)</t>
  </si>
  <si>
    <t xml:space="preserve">Stack file attached to SR 31018471</t>
  </si>
  <si>
    <t xml:space="preserve">MP plan.pdf</t>
  </si>
  <si>
    <t xml:space="preserve">Plan status Completed; created 3 Oct, modified 4 Oct 2026</t>
  </si>
  <si>
    <t xml:space="preserve">H.2</t>
  </si>
  <si>
    <t xml:space="preserve">SR 31018471 raised: Update Software Version of Application (BASIC_1.5.09), XS4, window 9 Oct 02:45-10:45 UTC</t>
  </si>
  <si>
    <t xml:space="preserve">SR validated by ECS 5 Oct</t>
  </si>
  <si>
    <t xml:space="preserve">SR log</t>
  </si>
  <si>
    <t xml:space="preserve">SAP for Me also shows Request ID 31018481 for this SR</t>
  </si>
  <si>
    <t xml:space="preserve">First XS4 update run (SR 31018471) paused at Configuration (12%) by the SI-check: latest version of SAP Note 2502552 needed first; ECS reset SUM on 14 Oct</t>
  </si>
  <si>
    <t xml:space="preserve">SUM reset; SR 31018471 kept for the rerun after the copy (1.03)</t>
  </si>
  <si>
    <t xml:space="preserve">Lesson applied: notes go into DS4 first (0.02), then XS4 is copied from DS4 (H.5)</t>
  </si>
  <si>
    <t xml:space="preserve">CODE - Custom code, notes, SPDD/SPAU</t>
  </si>
  <si>
    <t xml:space="preserve">Side-effect report for MP 1002693650 triaged: 135 in-scope notes (2 HotNews: 3777415, 3563542), 178 conditional</t>
  </si>
  <si>
    <t xml:space="preserve">All</t>
  </si>
  <si>
    <t xml:space="preserve">PwC Technical</t>
  </si>
  <si>
    <t xml:space="preserve">SAP_Notes_Side_Effect_Register_SPS06.xlsx</t>
  </si>
  <si>
    <t xml:space="preserve">SER</t>
  </si>
  <si>
    <t xml:space="preserve">Register delivered 6 Oct</t>
  </si>
  <si>
    <t xml:space="preserve">GOV - Governance &amp; SAP engagement</t>
  </si>
  <si>
    <t xml:space="preserve">Approach changed: rebuild the Sandbox XS4 as a copy of DS4, then rerun SUM, so the rehearsal runs on Development code and configuration (decision D1)</t>
  </si>
  <si>
    <t xml:space="preserve">DS4 &gt; XS4</t>
  </si>
  <si>
    <t xml:space="preserve">PwC Technical; SAP ECS</t>
  </si>
  <si>
    <t xml:space="preserve">Sandbox preparation started</t>
  </si>
  <si>
    <t xml:space="preserve">USER</t>
  </si>
  <si>
    <t xml:space="preserve">Sandbox preparation runs from Thu 15 Oct</t>
  </si>
  <si>
    <t xml:space="preserve">Align the upgrade plan with the PwC Technical team (copy strategy, SPDD/SPAU, notes, ATC, weekend windows)</t>
  </si>
  <si>
    <t xml:space="preserve">PwC Technical aligned</t>
  </si>
  <si>
    <t xml:space="preserve">PwC Technical team aligned (USER, 18 Oct)</t>
  </si>
  <si>
    <t xml:space="preserve">PwC Functional teams review the plan: stream impacts, regression scope, CFIN/SLT and GTS runbooks, Sandbox test plan</t>
  </si>
  <si>
    <t xml:space="preserve">PwC Technical; INTL Test Lead</t>
  </si>
  <si>
    <t xml:space="preserve">Review comments closed</t>
  </si>
  <si>
    <t xml:space="preserve">Review in progress (USER, 18 Oct)</t>
  </si>
  <si>
    <t xml:space="preserve">Approve plan v4 at Steering: copy strategy (XS4, DS5, QS5), weekend windows, gates G0-G5, Plan B/C</t>
  </si>
  <si>
    <t xml:space="preserve">PwC Technical; PwC Functional</t>
  </si>
  <si>
    <t xml:space="preserve">Plan v4 baselined; owners named</t>
  </si>
  <si>
    <t xml:space="preserve">Implement the latest versions of SAP Notes 2399707 and 2502552 (TCI) in DS4; release the transport to QS4, SS4, PS4 before each SUM. Check the number: 2502552 (the 12 Oct attempt used 2502662)</t>
  </si>
  <si>
    <t xml:space="preserve">DS4 &gt; QS4/SS4/PS4</t>
  </si>
  <si>
    <t xml:space="preserve">Notes at latest version in DS4; transport in import queues</t>
  </si>
  <si>
    <t xml:space="preserve">UG 2.1, 4.4; SR log</t>
  </si>
  <si>
    <t xml:space="preserve">UG 2.1: a shared transport must be imported into the next system before its upgrade starts</t>
  </si>
  <si>
    <t xml:space="preserve">1, C2</t>
  </si>
  <si>
    <t xml:space="preserve">0.03</t>
  </si>
  <si>
    <t xml:space="preserve">Run SI-check /SDF/RC_START_CHECK (target 2023 SPS06) with "Check Consistency for All" in DS4 and QS4; fix RC 8/12; record RC 7 exemptions</t>
  </si>
  <si>
    <t xml:space="preserve">DS4, QS4</t>
  </si>
  <si>
    <t xml:space="preserve">No RC &gt;= 8 open; exemption log</t>
  </si>
  <si>
    <t xml:space="preserve">UG 4.4</t>
  </si>
  <si>
    <t xml:space="preserve">SUM stops at start on RC 12 and before downtime on RC &gt;= 8</t>
  </si>
  <si>
    <t xml:space="preserve">Raise the ECS SR for the system copy DS4 &gt; XS4 (copy Wed 21 - Thu 22 Oct)</t>
  </si>
  <si>
    <t xml:space="preserve">Copy SR raised (number in SR Tracker)</t>
  </si>
  <si>
    <t xml:space="preserve">Raised (USER, 18 Oct)</t>
  </si>
  <si>
    <t xml:space="preserve">0.04</t>
  </si>
  <si>
    <t xml:space="preserve">Raise the remaining ECS SRs with weekend windows: copies DS4&gt;DS5, QS4&gt;QS5; updates DS4, QS4, SS4, PS4, DS5, QS5 (see SR Tracker); request uptime start time explicitly</t>
  </si>
  <si>
    <t xml:space="preserve">SAP ECS; INTL PMO</t>
  </si>
  <si>
    <t xml:space="preserve">SR numbers and confirmed windows in SR Tracker</t>
  </si>
  <si>
    <t xml:space="preserve">UG 5; SR log</t>
  </si>
  <si>
    <t xml:space="preserve">ECS validated SR 31018471 within 2 days and preparation started 36 h before downtime</t>
  </si>
  <si>
    <t xml:space="preserve">2, C1</t>
  </si>
  <si>
    <t xml:space="preserve">Maintenance Planner: one transaction per system (DS4, QS4, SS4, PS4, DS5, QS5) with the same target stack as 1002693650; attach each MPID to its SR</t>
  </si>
  <si>
    <t xml:space="preserve">MPID per system; identical target levels</t>
  </si>
  <si>
    <t xml:space="preserve">UG 4.2; MP</t>
  </si>
  <si>
    <t xml:space="preserve">Created (USER, 18 Oct); MP 1002693650 covered XS4 only</t>
  </si>
  <si>
    <t xml:space="preserve">0.06</t>
  </si>
  <si>
    <t xml:space="preserve">Ask ECS: are HANA 2.00.089.5 (SPS08) and kernel 916 (in the MP download list) applied inside each SUM window, or do they need DB/OS SRs (DB_1.1.11/12, INFRA_1.6.12) with separate downtime?</t>
  </si>
  <si>
    <t xml:space="preserve">Written ECS answer; windows adjusted if needed</t>
  </si>
  <si>
    <t xml:space="preserve">UG 4.3; MP download list</t>
  </si>
  <si>
    <t xml:space="preserve">UG 4.3: OS and DB patching need a separate downtime</t>
  </si>
  <si>
    <t xml:space="preserve">2, 9</t>
  </si>
  <si>
    <t xml:space="preserve">0.07</t>
  </si>
  <si>
    <t xml:space="preserve">SAP MaxAttention: plan safeguarding review, SI-check and side-effect review, escalation path and weekend coverage for 24 Oct - 22 Nov</t>
  </si>
  <si>
    <t xml:space="preserve">SAP MaxAttention</t>
  </si>
  <si>
    <t xml:space="preserve">Review notes; named contacts per weekend</t>
  </si>
  <si>
    <t xml:space="preserve">0.08</t>
  </si>
  <si>
    <t xml:space="preserve">SAP BTP team: confirm actions for AFC, MBC, DRC (Mexico) and Work Zone around each S/4 window; tenant maintenance dates; copies stay disconnected</t>
  </si>
  <si>
    <t xml:space="preserve">SAP BTP team; PwC Functional</t>
  </si>
  <si>
    <t xml:space="preserve">BTP checklist per window</t>
  </si>
  <si>
    <t xml:space="preserve">0.09</t>
  </si>
  <si>
    <t xml:space="preserve">Incident and escalation protocol: SAP for Me priorities, ECS SR contacts, weekend on-call rota (Basis onsite/offshore, PwC, ECS, MaxAttention)</t>
  </si>
  <si>
    <t xml:space="preserve">INTL PMO; SAP MaxAttention</t>
  </si>
  <si>
    <t xml:space="preserve">Rota and contact sheet published</t>
  </si>
  <si>
    <t xml:space="preserve">Five consecutive weekend windows (24 Oct - 22 Nov)</t>
  </si>
  <si>
    <t xml:space="preserve">Copy isolation checklist for XS4, DS5, QS5: GTS, SLT/CFIN, AFC, MBC/banks, DRC/PAC, Work Zone, Ariba, OneSource, OpenText, SailPoint, Syniti, e-mail, printers, jobs</t>
  </si>
  <si>
    <t xml:space="preserve">XS4, DS5, QS5</t>
  </si>
  <si>
    <t xml:space="preserve">PwC Functional; PwC Data Migration; INTL SAP Security</t>
  </si>
  <si>
    <t xml:space="preserve">Checklist with owner per connection</t>
  </si>
  <si>
    <t xml:space="preserve">A copy keeps every RFC, port, certificate and job of its source</t>
  </si>
  <si>
    <t xml:space="preserve">Vendor outreach: send the e-mails in "Vendor Questions" (OpenText, Thomson Reuters, SailPoint, Syniti); answers due Wed 28 Oct</t>
  </si>
  <si>
    <t xml:space="preserve">PwC Functional; PwC Data Migration; Partner vendors</t>
  </si>
  <si>
    <t xml:space="preserve">Written answers filed</t>
  </si>
  <si>
    <t xml:space="preserve">UG 4.2</t>
  </si>
  <si>
    <t xml:space="preserve">UG 4.2: checking third-party add-ons with their vendors is the customer's responsibility</t>
  </si>
  <si>
    <t xml:space="preserve">Publish transport windows A-E and the DS5 dual-maintenance rule; defect tag UPG-SPS06 in qTest/ADO</t>
  </si>
  <si>
    <t xml:space="preserve">Rules briefed to developers and testers</t>
  </si>
  <si>
    <t xml:space="preserve">UG 3.1</t>
  </si>
  <si>
    <t xml:space="preserve">Release 2 is paused (USER), so dual maintenance covers SIT2, Mock3 and UAT fixes only</t>
  </si>
  <si>
    <t xml:space="preserve">0.13</t>
  </si>
  <si>
    <t xml:space="preserve">Confirm a customer package (Z*) exists in DS4; list objects created by manual note corrections (passive deletion risk, Note 2513585)</t>
  </si>
  <si>
    <t xml:space="preserve">Package confirmed; objects to rescue listed</t>
  </si>
  <si>
    <t xml:space="preserve">UG 3.5</t>
  </si>
  <si>
    <t xml:space="preserve">Packages cannot be created during the update</t>
  </si>
  <si>
    <t xml:space="preserve">0.14</t>
  </si>
  <si>
    <t xml:space="preserve">Custom code check: import Simplification DB (CCMSIDB via SYCM, Note 2241080), ATC run with baseline against 2023 SPS06 in DS4</t>
  </si>
  <si>
    <t xml:space="preserve">ATC findings list; priority-1 items owned</t>
  </si>
  <si>
    <t xml:space="preserve">UG 4.5</t>
  </si>
  <si>
    <t xml:space="preserve">Needs SAP_SATC_ADMIN and S_YCM (UG 4.5.1.1)</t>
  </si>
  <si>
    <t xml:space="preserve">SEC - Security, GRC, SailPoint</t>
  </si>
  <si>
    <t xml:space="preserve">SDMI users: create via SDM_USER in every client of DS4, QS4, SS4, PS4 (Notes 2664638, 2850918), or tell ECS to create them in SUM</t>
  </si>
  <si>
    <t xml:space="preserve">INTL SAP Security</t>
  </si>
  <si>
    <t xml:space="preserve">SDMI user per client or SR instruction</t>
  </si>
  <si>
    <t xml:space="preserve">UG 6.1</t>
  </si>
  <si>
    <t xml:space="preserve">Without the user, SDMIs do not start and data is not migrated</t>
  </si>
  <si>
    <t xml:space="preserve">0.16</t>
  </si>
  <si>
    <t xml:space="preserve">ODP jobs: check own variants of ODQ_CLEANUP / ODQ_DAEMON vs technical job definitions (Note 2677355)</t>
  </si>
  <si>
    <t xml:space="preserve">Decision recorded</t>
  </si>
  <si>
    <t xml:space="preserve">UG 4.7</t>
  </si>
  <si>
    <t xml:space="preserve">0.17</t>
  </si>
  <si>
    <t xml:space="preserve">FIO - Fiori, Work Zone, SAP GUI</t>
  </si>
  <si>
    <t xml:space="preserve">Fiori Upgrade Impact Analysis (Fiori apps library) for apps in use: UI content moves FPS02 &gt; FPS03 per MP; list deprecated and successor apps</t>
  </si>
  <si>
    <t xml:space="preserve">App impact list with owner</t>
  </si>
  <si>
    <t xml:space="preserve">UG 3.3; MP</t>
  </si>
  <si>
    <t xml:space="preserve">MP: SAP Fiori for S/4HANA 2023 02 &gt; 03 (02/2025) FPS; FES 2023 stays 02</t>
  </si>
  <si>
    <t xml:space="preserve">0.18</t>
  </si>
  <si>
    <t xml:space="preserve">SAP GUI: confirm the deployed GUI version supports the target (Notes 147519, 26417)</t>
  </si>
  <si>
    <t xml:space="preserve">Confirmation</t>
  </si>
  <si>
    <t xml:space="preserve">UG 3.2</t>
  </si>
  <si>
    <t xml:space="preserve">0.19</t>
  </si>
  <si>
    <t xml:space="preserve">INT - Integrations (CFIN, GTS, BTP, partners)</t>
  </si>
  <si>
    <t xml:space="preserve">CFIN / SLT runbook: suspend and resume replication on QL4 around QS4 and SS4 windows; QL5 repoint plan for QS5; DMIS compatibility confirmed</t>
  </si>
  <si>
    <t xml:space="preserve">QL4, QL5</t>
  </si>
  <si>
    <t xml:space="preserve">INTL Basis; SAP MaxAttention</t>
  </si>
  <si>
    <t xml:space="preserve">Runbook approved</t>
  </si>
  <si>
    <t xml:space="preserve">QL4 = SLT for the N line, QL5 = SLT for N+1 (USER)</t>
  </si>
  <si>
    <t xml:space="preserve">0.20</t>
  </si>
  <si>
    <t xml:space="preserve">GTS plan: map S/4 client to GTS client (DS4-DG4, QS4-QG4, SS4-QG4/300); plug-in regression scenarios; QG4-300 UAT pause for the SS4 window</t>
  </si>
  <si>
    <t xml:space="preserve">DG4, QG4</t>
  </si>
  <si>
    <t xml:space="preserve">INTL Basis; INTL PO / IT Leads</t>
  </si>
  <si>
    <t xml:space="preserve">GTS connection map and test list</t>
  </si>
  <si>
    <t xml:space="preserve">GTS has no pre-production; QG4 client 300 hosts UAT (USER)</t>
  </si>
  <si>
    <t xml:space="preserve">DM - Data migration (Syniti)</t>
  </si>
  <si>
    <t xml:space="preserve">Mock3 protection: Mock3 (SS4-100, 19 Oct - 6 Nov) runs fully on FPS02; no SS4 refresh; Syniti connection unchanged; Mock3 fixes via DS5 after 30 Oct</t>
  </si>
  <si>
    <t xml:space="preserve">INTL Basis; Partner vendors</t>
  </si>
  <si>
    <t xml:space="preserve">Mock3 change rules agreed with Syniti</t>
  </si>
  <si>
    <t xml:space="preserve">POAP</t>
  </si>
  <si>
    <t xml:space="preserve">No change to the Mock3 environment is required for the upgrade</t>
  </si>
  <si>
    <t xml:space="preserve">TST - Testing</t>
  </si>
  <si>
    <t xml:space="preserve">Regression set: SIT2 P1 scripts per stream tagged in qTest for the QS4 re-run; Sandbox test plan owners named</t>
  </si>
  <si>
    <t xml:space="preserve">INTL Test Lead</t>
  </si>
  <si>
    <t xml:space="preserve">Tagged P1 set; Sandbox test owners</t>
  </si>
  <si>
    <t xml:space="preserve">No test automation (USER): all regression is manual</t>
  </si>
  <si>
    <t xml:space="preserve">GATE G0 - Ready for Sandbox: notes in DS4, SI-check clean, SRs accepted, MPIDs, isolation checklist signed</t>
  </si>
  <si>
    <t xml:space="preserve">INTL Basis; PwC Technical</t>
  </si>
  <si>
    <t xml:space="preserve">0.01, 0.02, 0.03, 0.04a, 0.04, 0.05, 0.06, 0.09, 0.10</t>
  </si>
  <si>
    <t xml:space="preserve">Go for XS4 SUM</t>
  </si>
  <si>
    <t xml:space="preserve">UG 2.2</t>
  </si>
  <si>
    <t xml:space="preserve">P1 Sandbox XS4 (copy of DS4)</t>
  </si>
  <si>
    <t xml:space="preserve">ECS system copy DS4 &gt; XS4 (XS4 overwritten; SR 31018471 waits for the rerun)</t>
  </si>
  <si>
    <t xml:space="preserve">0.02, 0.04a</t>
  </si>
  <si>
    <t xml:space="preserve">XS4 = DS4 code and configuration</t>
  </si>
  <si>
    <t xml:space="preserve">Taken from a DS4 backup: no DS4 downtime expected (confirm with ECS)</t>
  </si>
  <si>
    <t xml:space="preserve">10</t>
  </si>
  <si>
    <t xml:space="preserve">XS4 post-copy: BDLS, disable RFC/ports/certificates per isolation checklist, SCOT, suspend jobs (BTCTRNS1), STMS, lock users</t>
  </si>
  <si>
    <t xml:space="preserve">1.01, 0.10</t>
  </si>
  <si>
    <t xml:space="preserve">Isolation evidence</t>
  </si>
  <si>
    <t xml:space="preserve">XS4: confirm 2399707 / 2502552 at latest version, SI-check RC &lt; 8, check modifications (SE95) and update the SPDD/SPAU answers in SR 31018471 (were "No"); send the SR back</t>
  </si>
  <si>
    <t xml:space="preserve">SR 31018471 back with ECS</t>
  </si>
  <si>
    <t xml:space="preserve">SR log; UG 3.5, 4.4</t>
  </si>
  <si>
    <t xml:space="preserve">The copy brings DS4 modifications into XS4</t>
  </si>
  <si>
    <t xml:space="preserve">11, C1, C2</t>
  </si>
  <si>
    <t xml:space="preserve">ECS SUM on XS4: uptime Thu 22 - Fri 23 Oct (dev lock set automatically); downtime Sat 24 Oct (Sun 25 contingency)</t>
  </si>
  <si>
    <t xml:space="preserve">1.03, G0</t>
  </si>
  <si>
    <t xml:space="preserve">XS4 on SPS06; runtime and downtime measured</t>
  </si>
  <si>
    <t xml:space="preserve">First run planned 8 h downtime (SR window)</t>
  </si>
  <si>
    <t xml:space="preserve">11, C3, C7</t>
  </si>
  <si>
    <t xml:space="preserve">XS4 SPDD (during SUM), SPAU, then SPAU_ENH: prototype and size the DS4 adjustment</t>
  </si>
  <si>
    <t xml:space="preserve">1.04 SS</t>
  </si>
  <si>
    <t xml:space="preserve">Worklist and effort for DS4</t>
  </si>
  <si>
    <t xml:space="preserve">SPAU_ENH only after SPDD/SPAU (UG 3.5)</t>
  </si>
  <si>
    <t xml:space="preserve">11, C5, C8</t>
  </si>
  <si>
    <t xml:space="preserve">1.06</t>
  </si>
  <si>
    <t xml:space="preserve">XS4 technical checks: SICK, SM21, ST22, SM37, SM59, STMS, SMICM, SGEN, component levels vs MP, SDM_MON</t>
  </si>
  <si>
    <t xml:space="preserve">Checklist signed</t>
  </si>
  <si>
    <t xml:space="preserve">11, C9</t>
  </si>
  <si>
    <t xml:space="preserve">1.07</t>
  </si>
  <si>
    <t xml:space="preserve">XS4 Fiori follow-ups: Notes 3336823 and 2902673, /UI2/INVALIDATE_CLIENT_CACHES, /UI2/INVALIDATE_GLOBAL_CACHES, app descriptors if BEC catalogs, SICF /sap/public/bc/its</t>
  </si>
  <si>
    <t xml:space="preserve">Launchpad and key apps load</t>
  </si>
  <si>
    <t xml:space="preserve">UG 6.3</t>
  </si>
  <si>
    <t xml:space="preserve">Not in the ECS standard subscription (UG 6.3)</t>
  </si>
  <si>
    <t xml:space="preserve">11, C10</t>
  </si>
  <si>
    <t xml:space="preserve">XS4 SU25 steps 2a/2b, SU24 and role delta; GRC AC 12.0 SP32 post-steps (sync jobs, risk analysis)</t>
  </si>
  <si>
    <t xml:space="preserve">Role delta list sized for DS4</t>
  </si>
  <si>
    <t xml:space="preserve">UG 6.4; MP</t>
  </si>
  <si>
    <t xml:space="preserve">Notes 3809657 and 3782096 (SU25) are in the SER in-scope list</t>
  </si>
  <si>
    <t xml:space="preserve">11, C11</t>
  </si>
  <si>
    <t xml:space="preserve">XS4 note bundle trial: HotNews 3777415 and 3563542 first, then High, then Medium in-scope notes</t>
  </si>
  <si>
    <t xml:space="preserve">Bundle sequence and effort for DS4</t>
  </si>
  <si>
    <t xml:space="preserve">11, C8</t>
  </si>
  <si>
    <t xml:space="preserve">Execute the Sandbox Test Plan (30 tests; see sheet); log defects UPG-SPS06</t>
  </si>
  <si>
    <t xml:space="preserve">INTL Basis; INTL SAP Security</t>
  </si>
  <si>
    <t xml:space="preserve">All "Yes" tests passed; each "Partial" has a named follow-up</t>
  </si>
  <si>
    <t xml:space="preserve">12, C13</t>
  </si>
  <si>
    <t xml:space="preserve">Lessons learned; confirm downtime per system with ECS (DS4, QS4, SS4, PS4 windows)</t>
  </si>
  <si>
    <t xml:space="preserve">Windows reconfirmed</t>
  </si>
  <si>
    <t xml:space="preserve">11</t>
  </si>
  <si>
    <t xml:space="preserve">GATE G1 - Sandbox sign-off: go for DS4 (Thu 29 Oct 12:00 CT, before DS4 uptime starts)</t>
  </si>
  <si>
    <t xml:space="preserve">INTL Basis; PwC Technical; INTL Test Lead</t>
  </si>
  <si>
    <t xml:space="preserve">1.05-1.11</t>
  </si>
  <si>
    <t xml:space="preserve">Go for DS4 or Plan B</t>
  </si>
  <si>
    <t xml:space="preserve">P2 Development DS4 + DS5 copy</t>
  </si>
  <si>
    <t xml:space="preserve">ECS system copy DS4 &gt; DS5 (temporary Dev on FPS02 = fallback)</t>
  </si>
  <si>
    <t xml:space="preserve">DS4 &gt; DS5</t>
  </si>
  <si>
    <t xml:space="preserve">DS5 = DS4 at copy time</t>
  </si>
  <si>
    <t xml:space="preserve">SAP temporary-landscape pattern (UG 3.1)</t>
  </si>
  <si>
    <t xml:space="preserve">13</t>
  </si>
  <si>
    <t xml:space="preserve">DS5 post-copy: BDLS, isolation (no DG4, no SLT, no BTP), add to TMS with routes DS5 &gt; QS4/SS4 (FPS02 fixes) and DS5 &gt; QS5; re-import DS4 transports released after the copy point</t>
  </si>
  <si>
    <t xml:space="preserve">DS5</t>
  </si>
  <si>
    <t xml:space="preserve">DS5 open for fixes Fri 30 Oct</t>
  </si>
  <si>
    <t xml:space="preserve">DS4 release cut-off: SIT2 fixes released and imported to QS4 by Fri 30 Oct 12:00 CT</t>
  </si>
  <si>
    <t xml:space="preserve">DS4 &gt; QS4</t>
  </si>
  <si>
    <t xml:space="preserve">Nothing open in DS4</t>
  </si>
  <si>
    <t xml:space="preserve">14</t>
  </si>
  <si>
    <t xml:space="preserve">ECS SUM on DS4: uptime Fri 30 Oct (dev lock); downtime Sat 31 Oct (Sun 1 Nov contingency)</t>
  </si>
  <si>
    <t xml:space="preserve">DS4 on SPS06</t>
  </si>
  <si>
    <t xml:space="preserve">UG 5</t>
  </si>
  <si>
    <t xml:space="preserve">Weekend window (USER)</t>
  </si>
  <si>
    <t xml:space="preserve">14, C3, C7</t>
  </si>
  <si>
    <t xml:space="preserve">DS4 SPDD during SUM (transport ID &lt;SID&gt;K9xxxxx into SR), then SPAU and SPAU_ENH; release both adjustment transports for reuse</t>
  </si>
  <si>
    <t xml:space="preserve">INTL Basis; SAP ECS</t>
  </si>
  <si>
    <t xml:space="preserve">2.04 SS</t>
  </si>
  <si>
    <t xml:space="preserve">SPDD + SPAU transports for QS4, SS4, PS4, DS5, QS5</t>
  </si>
  <si>
    <t xml:space="preserve">UG 3.5; SR form</t>
  </si>
  <si>
    <t xml:space="preserve">Subsequent systems reuse them in phase ADJUSTPRP</t>
  </si>
  <si>
    <t xml:space="preserve">14, C5, C8</t>
  </si>
  <si>
    <t xml:space="preserve">DS4 post-processing: technical checks, Fiori follow-ups, SDM_MON, Work Zone dev content</t>
  </si>
  <si>
    <t xml:space="preserve">UG 6.1, 6.3</t>
  </si>
  <si>
    <t xml:space="preserve">14, C9, C10</t>
  </si>
  <si>
    <t xml:space="preserve">DS4 SU25 2a/2b, SU24, PFCG roles, GRC post-steps; role transports released</t>
  </si>
  <si>
    <t xml:space="preserve">Role transports</t>
  </si>
  <si>
    <t xml:space="preserve">UG 6.4</t>
  </si>
  <si>
    <t xml:space="preserve">14, C11</t>
  </si>
  <si>
    <t xml:space="preserve">DS4 note bundle (SNOTE) in transports; ATC re-run on SPS06; RICEFW unit tests (interfaces, enhancements, forms, workflows, custom Fiori)</t>
  </si>
  <si>
    <t xml:space="preserve">Note transports; unit-test evidence; zero priority-1 ATC findings</t>
  </si>
  <si>
    <t xml:space="preserve">SER; UG 4.5</t>
  </si>
  <si>
    <t xml:space="preserve">14, C8</t>
  </si>
  <si>
    <t xml:space="preserve">DS4 integration unit checks with dev endpoints: DG4, AFC, MBC, DRC, Work Zone, SailPoint (dev), OpenText</t>
  </si>
  <si>
    <t xml:space="preserve">INTL Basis; SAP BTP team</t>
  </si>
  <si>
    <t xml:space="preserve">Connections tested</t>
  </si>
  <si>
    <t xml:space="preserve">14, C12</t>
  </si>
  <si>
    <t xml:space="preserve">Dual maintenance: SIT2, Mock3 and UAT fixes built in DS5 (FPS02) for QS4/SS4, and re-applied in DS4 (SPS06); retrofit log reconciled daily</t>
  </si>
  <si>
    <t xml:space="preserve">DS5, DS4</t>
  </si>
  <si>
    <t xml:space="preserve">Retrofit log: every DS5 change also in DS4</t>
  </si>
  <si>
    <t xml:space="preserve">Ends when SS4 is on SPS06 (14 Nov)</t>
  </si>
  <si>
    <t xml:space="preserve">15</t>
  </si>
  <si>
    <t xml:space="preserve">GATE G2 - Dev ready: adjustment, note and role transports released; no blocking unit-test failure</t>
  </si>
  <si>
    <t xml:space="preserve">PwC Technical; INTL Basis</t>
  </si>
  <si>
    <t xml:space="preserve">2.05-2.09</t>
  </si>
  <si>
    <t xml:space="preserve">Go for QS4</t>
  </si>
  <si>
    <t xml:space="preserve">P3 QA QS4 + QS5 copy</t>
  </si>
  <si>
    <t xml:space="preserve">ECS system copy QS4 &gt; QS5 from backup (QS4 stays in SIT2)</t>
  </si>
  <si>
    <t xml:space="preserve">QS4 &gt; QS5</t>
  </si>
  <si>
    <t xml:space="preserve">QS5 = QS4 (FPS02) = fallback QA</t>
  </si>
  <si>
    <t xml:space="preserve">16</t>
  </si>
  <si>
    <t xml:space="preserve">QS5 post-copy: BDLS, isolation (no QG4, no QL4, no BTP, no PAC/banks), TMS route DS5 &gt; QS5</t>
  </si>
  <si>
    <t xml:space="preserve">QS5</t>
  </si>
  <si>
    <t xml:space="preserve">SIT2 exit (6 Nov); FPS02 results frozen in qTest as the baseline for the SPS06 re-run</t>
  </si>
  <si>
    <t xml:space="preserve">QS4-200</t>
  </si>
  <si>
    <t xml:space="preserve">Baseline frozen</t>
  </si>
  <si>
    <t xml:space="preserve">Transport imports into QS4 end Thu 5 Nov (SUM uptime)</t>
  </si>
  <si>
    <t xml:space="preserve">18</t>
  </si>
  <si>
    <t xml:space="preserve">QS4 ramp-down Fri 6 Nov: suspend SLT (QL4), drain qRFC/AIF/IDoc, pause GTS transfers, SailPoint, AFC tasks; stop jobs, lock users, clear update errors</t>
  </si>
  <si>
    <t xml:space="preserve">QS4, QL4, QG4</t>
  </si>
  <si>
    <t xml:space="preserve">PwC Functional; INTL SAP Security</t>
  </si>
  <si>
    <t xml:space="preserve">Hand-over to ECS before the downtime (Sat 7 Nov)</t>
  </si>
  <si>
    <t xml:space="preserve">Runs during SUM uptime, before the downtime</t>
  </si>
  <si>
    <t xml:space="preserve">17, C6</t>
  </si>
  <si>
    <t xml:space="preserve">ECS SUM on QS4 (clients 100, 200): uptime Thu 5 - Fri 6 Nov; downtime Sat 7 Nov (Sun 8 contingency); adjustment transports via ADJUSTPRP</t>
  </si>
  <si>
    <t xml:space="preserve">QS4 on SPS06</t>
  </si>
  <si>
    <t xml:space="preserve">UG 3.5, 5</t>
  </si>
  <si>
    <t xml:space="preserve">Straight after SIT2 (USER option 1)</t>
  </si>
  <si>
    <t xml:space="preserve">17, C3, C7</t>
  </si>
  <si>
    <t xml:space="preserve">QS4 post-processing: checks, note and role transports, Fiori follow-ups, SDM_MON, Work Zone content re-sync</t>
  </si>
  <si>
    <t xml:space="preserve">INTL SAP Security; PwC Technical</t>
  </si>
  <si>
    <t xml:space="preserve">UG 6</t>
  </si>
  <si>
    <t xml:space="preserve">17, C9, C10, C11</t>
  </si>
  <si>
    <t xml:space="preserve">QS4 resume: SLT replication from QL4 and CFIN reconciliation (AIF); GTS retransfer check; SailPoint aggregation; BTP connections</t>
  </si>
  <si>
    <t xml:space="preserve">Replication and integrations healthy</t>
  </si>
  <si>
    <t xml:space="preserve">17, C12</t>
  </si>
  <si>
    <t xml:space="preserve">QS4-200 SPS06 regression: re-run P1 scripts per stream (STP/Ariba, OTC, RTR, ITD, CFIN, GTS, VIM, AFC, DRC MX, MBC, OneSource with TR onsite w/c 9 Nov)</t>
  </si>
  <si>
    <t xml:space="preserve">INTL PO / IT Leads; Partner vendors</t>
  </si>
  <si>
    <t xml:space="preserve">3.07, 3.03</t>
  </si>
  <si>
    <t xml:space="preserve">P1 pass &gt;= 95%, no open Sev1/Sev2</t>
  </si>
  <si>
    <t xml:space="preserve">TR is onsite w/c 9 Nov (POAP)</t>
  </si>
  <si>
    <t xml:space="preserve">18, C13</t>
  </si>
  <si>
    <t xml:space="preserve">QS4 security regression: negative tests, GRC AC checks, SailPoint provisioning, Work Zone role collections</t>
  </si>
  <si>
    <t xml:space="preserve">Role test evidence</t>
  </si>
  <si>
    <t xml:space="preserve">Migration validation on SPS06: Syniti sample loads per object into QS4-100; migration notes 3805046, 3791609, 3789840 checked</t>
  </si>
  <si>
    <t xml:space="preserve">QS4-100</t>
  </si>
  <si>
    <t xml:space="preserve">Partner vendors; INTL Basis</t>
  </si>
  <si>
    <t xml:space="preserve">Objects load on SPS06</t>
  </si>
  <si>
    <t xml:space="preserve">Cutover loads (7 Dec) run on SPS06</t>
  </si>
  <si>
    <t xml:space="preserve">QS5 fallback readiness: QL5 repointed to QS5; CFIN smoke on QS5 (only needed for Plan C)</t>
  </si>
  <si>
    <t xml:space="preserve">QS5, QL5</t>
  </si>
  <si>
    <t xml:space="preserve">QS5 usable as fallback QA</t>
  </si>
  <si>
    <t xml:space="preserve">Defect triage against the FPS02 baseline; fix and retest UPG-SPS06 defects (fixes in DS4 now that DS4 and QS4 are both SPS06)</t>
  </si>
  <si>
    <t xml:space="preserve">3.08 SS</t>
  </si>
  <si>
    <t xml:space="preserve">Defect log closed or accepted</t>
  </si>
  <si>
    <t xml:space="preserve">18, C14</t>
  </si>
  <si>
    <t xml:space="preserve">GATE G3 - Go for SS4: P1 &gt;= 95%, zero open Sev1/Sev2 upgrade defects, CFIN/GTS/BTP green, security passed; otherwise Plan C</t>
  </si>
  <si>
    <t xml:space="preserve">INTL Basis; INTL Test Lead; PwC Functional</t>
  </si>
  <si>
    <t xml:space="preserve">3.05-3.12</t>
  </si>
  <si>
    <t xml:space="preserve">Go / Plan C</t>
  </si>
  <si>
    <t xml:space="preserve">P4 Pre-production SS4</t>
  </si>
  <si>
    <t xml:space="preserve">UAT week 1 on SS4 (FPS02) as planned; UAT fixes for SS4 via DS5 until SS4 is upgraded; SS4 imports end Thu 12 Nov</t>
  </si>
  <si>
    <t xml:space="preserve">SS4-100</t>
  </si>
  <si>
    <t xml:space="preserve">INTL PO / IT Leads</t>
  </si>
  <si>
    <t xml:space="preserve">UAT week 1 results</t>
  </si>
  <si>
    <t xml:space="preserve">20</t>
  </si>
  <si>
    <t xml:space="preserve">SS4 ramp-down Fri 13 Nov: SLT, GTS QG4-300, SailPoint, AFC, MBC, DRC queues, OneSource, jobs, users</t>
  </si>
  <si>
    <t xml:space="preserve">SS4, QG4-300</t>
  </si>
  <si>
    <t xml:space="preserve">Hand-over to ECS</t>
  </si>
  <si>
    <t xml:space="preserve">19, C6</t>
  </si>
  <si>
    <t xml:space="preserve">ECS SUM on SS4: uptime Thu 12 - Fri 13 Nov; downtime Fri night 13 - Sat 14 Nov (Sun 15 contingency)</t>
  </si>
  <si>
    <t xml:space="preserve">SS4 on SPS06</t>
  </si>
  <si>
    <t xml:space="preserve">Weekend window, no UAT weekday lost (USER)</t>
  </si>
  <si>
    <t xml:space="preserve">19, C3, C7</t>
  </si>
  <si>
    <t xml:space="preserve">SS4 post-processing: checks, transports, Fiori follow-ups, SDM_MON, Work Zone UAT content, roles</t>
  </si>
  <si>
    <t xml:space="preserve">4.03 SS</t>
  </si>
  <si>
    <t xml:space="preserve">19, C9, C10, C11</t>
  </si>
  <si>
    <t xml:space="preserve">SS4 resume and verify: SLT/CFIN, GTS QG4-300 end-to-end, AFC, MBC, DRC, OneSource, SailPoint, legacy interfaces</t>
  </si>
  <si>
    <t xml:space="preserve">Integrations green before testers return</t>
  </si>
  <si>
    <t xml:space="preserve">19, C12</t>
  </si>
  <si>
    <t xml:space="preserve">Technical smoke Mon 16 Nov 08:00; UAT weeks 2-4 continue on SPS06 (16 Nov - 4 Dec)</t>
  </si>
  <si>
    <t xml:space="preserve">UAT exit (4 Dec)</t>
  </si>
  <si>
    <t xml:space="preserve">20, C13</t>
  </si>
  <si>
    <t xml:space="preserve">Performance delta check on SS4 SPS06: key scenarios from the FPS02 performance test (14 Oct - 6 Nov)</t>
  </si>
  <si>
    <t xml:space="preserve">No material degradation</t>
  </si>
  <si>
    <t xml:space="preserve">GATE G4 - Go for PS4: SS4 stable, performance delta acceptable, no upgrade blockers; start DS5/QS5 realignment</t>
  </si>
  <si>
    <t xml:space="preserve">INTL Basis; INTL Test Lead</t>
  </si>
  <si>
    <t xml:space="preserve">4.04, 4.05, 4.07</t>
  </si>
  <si>
    <t xml:space="preserve">Go for PS4</t>
  </si>
  <si>
    <t xml:space="preserve">P5 Production PS4</t>
  </si>
  <si>
    <t xml:space="preserve">PS4 import hold while PS4 is FPS02 (from 14 Nov until PS4 post-processing)</t>
  </si>
  <si>
    <t xml:space="preserve">Queue held, then released</t>
  </si>
  <si>
    <t xml:space="preserve">21</t>
  </si>
  <si>
    <t xml:space="preserve">ECS SUM on PS4: uptime Thu 19 - Fri 20 Nov; downtime Fri night 20 - Sat 21 Nov (Sun 22 contingency); pre-upgrade backup</t>
  </si>
  <si>
    <t xml:space="preserve">PS4 on SPS06</t>
  </si>
  <si>
    <t xml:space="preserve">Before cutover starts (7 Dec)</t>
  </si>
  <si>
    <t xml:space="preserve">21, C3, C7</t>
  </si>
  <si>
    <t xml:space="preserve">PS4 post-processing: checks, release queued transports, roles, Fiori follow-ups, Work Zone production content, SDM_MON</t>
  </si>
  <si>
    <t xml:space="preserve">5.02 SS</t>
  </si>
  <si>
    <t xml:space="preserve">Technical verification signed</t>
  </si>
  <si>
    <t xml:space="preserve">21, C9, C10, C11</t>
  </si>
  <si>
    <t xml:space="preserve">PS4 connection checks for integrations already configured (BTP production tenants, Cloud Connector, SLT, GTS) - no business data before cutover</t>
  </si>
  <si>
    <t xml:space="preserve">PwC Functional; SAP BTP team</t>
  </si>
  <si>
    <t xml:space="preserve">Connections verified</t>
  </si>
  <si>
    <t xml:space="preserve">21, C12</t>
  </si>
  <si>
    <t xml:space="preserve">GATE G5 - Upgrade closed: PS4 verified, UAT clean on SPS06; feeds Go/No-Go (30 Nov - 4 Dec)</t>
  </si>
  <si>
    <t xml:space="preserve">5.03, 5.04</t>
  </si>
  <si>
    <t xml:space="preserve">Thanksgiving is Thu 26 Nov</t>
  </si>
  <si>
    <t xml:space="preserve">P6 N+1 realign DS5 / QS5</t>
  </si>
  <si>
    <t xml:space="preserve">ECS SUM on DS5 (adjustment transports reused)</t>
  </si>
  <si>
    <t xml:space="preserve">DS5 on SPS06</t>
  </si>
  <si>
    <t xml:space="preserve">DS5/QS5 kept as fallback until G4 (USER)</t>
  </si>
  <si>
    <t xml:space="preserve">22, C3, C7</t>
  </si>
  <si>
    <t xml:space="preserve">ECS SUM on QS5</t>
  </si>
  <si>
    <t xml:space="preserve">QS5 on SPS06</t>
  </si>
  <si>
    <t xml:space="preserve">DS5/QS5 post-processing; retrofit DS4 changes since the copy; reconnect N+1 integrations (QL5 etc.) per N+1 design</t>
  </si>
  <si>
    <t xml:space="preserve">DS5, QS5</t>
  </si>
  <si>
    <t xml:space="preserve">N+1 line equals PS4 level</t>
  </si>
  <si>
    <t xml:space="preserve">Release 2 paused (USER)</t>
  </si>
  <si>
    <t xml:space="preserve">22</t>
  </si>
  <si>
    <t xml:space="preserve">P7 Stabilize to go-live</t>
  </si>
  <si>
    <t xml:space="preserve">Side-effect watch: re-run the side-effect report weekly until go-live</t>
  </si>
  <si>
    <t xml:space="preserve">Watch log</t>
  </si>
  <si>
    <t xml:space="preserve">23</t>
  </si>
  <si>
    <t xml:space="preserve">Cutover on SPS06 (7 - 31 Dec): SPS06 items in the cutover checklist</t>
  </si>
  <si>
    <t xml:space="preserve">PwC Data Migration; INTL Basis</t>
  </si>
  <si>
    <t xml:space="preserve">Checklist</t>
  </si>
  <si>
    <t xml:space="preserve">SDMI completion: SDM_MON shows all SDMIs finished in all clients of every upgraded system</t>
  </si>
  <si>
    <t xml:space="preserve">Screenshot per system</t>
  </si>
  <si>
    <t xml:space="preserve">All SDMIs must finish before the next upgrade</t>
  </si>
  <si>
    <t xml:space="preserve">23, C9</t>
  </si>
  <si>
    <t xml:space="preserve">Upgrade close-out: lessons learned, SR closure, MaxAttention summary</t>
  </si>
  <si>
    <t xml:space="preserve">SAP MaxAttention; PwC Technical</t>
  </si>
  <si>
    <t xml:space="preserve">Close-out report</t>
  </si>
  <si>
    <t xml:space="preserve">Obsolete data handling (SODH, Note 3335020): not before go-live; plan after hypercare</t>
  </si>
  <si>
    <t xml:space="preserve">UG 6.2</t>
  </si>
  <si>
    <t xml:space="preserve">PS4 holds no business data before cutover</t>
  </si>
  <si>
    <t xml:space="preserve">System landscape</t>
  </si>
  <si>
    <t xml:space="preserve">N = go-live line, N+1 = DS5/QS5 copies (fallback until G4). Update "Current level" to SPS06 when a system is done.</t>
  </si>
  <si>
    <t xml:space="preserve">SID</t>
  </si>
  <si>
    <t xml:space="preserve">Role</t>
  </si>
  <si>
    <t xml:space="preserve">Line</t>
  </si>
  <si>
    <t xml:space="preserve">Clients</t>
  </si>
  <si>
    <t xml:space="preserve">Current level</t>
  </si>
  <si>
    <t xml:space="preserve">Target level</t>
  </si>
  <si>
    <t xml:space="preserve">Copy</t>
  </si>
  <si>
    <t xml:space="preserve">Upgrade window</t>
  </si>
  <si>
    <t xml:space="preserve">SR</t>
  </si>
  <si>
    <t xml:space="preserve">Connected to</t>
  </si>
  <si>
    <t xml:space="preserve">Copy date</t>
  </si>
  <si>
    <t xml:space="preserve">Downtime date</t>
  </si>
  <si>
    <t xml:space="preserve">Sandbox (rehearsal)</t>
  </si>
  <si>
    <t xml:space="preserve">Sandbox</t>
  </si>
  <si>
    <t xml:space="preserve">tbc</t>
  </si>
  <si>
    <t xml:space="preserve">FPS02</t>
  </si>
  <si>
    <t xml:space="preserve">SPS06</t>
  </si>
  <si>
    <t xml:space="preserve">Copy of DS4, 21-22 Oct</t>
  </si>
  <si>
    <t xml:space="preserve">Sat 24 Oct</t>
  </si>
  <si>
    <t xml:space="preserve">SR 31018471</t>
  </si>
  <si>
    <t xml:space="preserve">Isolated after copy</t>
  </si>
  <si>
    <t xml:space="preserve">Prep on track since 15 Oct; copy SR raised; SR 31018471 reused for the SUM rerun</t>
  </si>
  <si>
    <t xml:space="preserve">Development</t>
  </si>
  <si>
    <t xml:space="preserve">N (go-live line)</t>
  </si>
  <si>
    <t xml:space="preserve">110</t>
  </si>
  <si>
    <t xml:space="preserve">Sat 31 Oct</t>
  </si>
  <si>
    <t xml:space="preserve">DG4; dev BTP tenants</t>
  </si>
  <si>
    <t xml:space="preserve">Dev lock from Fri 30 Oct (SUM uptime)</t>
  </si>
  <si>
    <t xml:space="preserve">Temporary Dev / N+1 Dev</t>
  </si>
  <si>
    <t xml:space="preserve">N+1 (fallback)</t>
  </si>
  <si>
    <t xml:space="preserve">SPS06 (1 Dec)</t>
  </si>
  <si>
    <t xml:space="preserve">Copy of DS4, 27-28 Oct</t>
  </si>
  <si>
    <t xml:space="preserve">Tue 1 Dec</t>
  </si>
  <si>
    <t xml:space="preserve">Isolated; TMS to QS4/SS4 (FPS02 fixes) and QS5</t>
  </si>
  <si>
    <t xml:space="preserve">Fallback until G4</t>
  </si>
  <si>
    <t xml:space="preserve">QA (SIT)</t>
  </si>
  <si>
    <t xml:space="preserve">100, 200</t>
  </si>
  <si>
    <t xml:space="preserve">Sat 7 Nov</t>
  </si>
  <si>
    <t xml:space="preserve">QG4; QL4 (SLT); QA BTP tenants; legacy</t>
  </si>
  <si>
    <t xml:space="preserve">SIT2 in client 200 until 6 Nov</t>
  </si>
  <si>
    <t xml:space="preserve">Temporary QA / N+1 QA</t>
  </si>
  <si>
    <t xml:space="preserve">SPS06 (3 Dec)</t>
  </si>
  <si>
    <t xml:space="preserve">Copy of QS4, 4-5 Nov</t>
  </si>
  <si>
    <t xml:space="preserve">Thu 3 Dec</t>
  </si>
  <si>
    <t xml:space="preserve">Isolated; QL5 (SLT) repoint</t>
  </si>
  <si>
    <t xml:space="preserve">Pre-production (UAT)</t>
  </si>
  <si>
    <t xml:space="preserve">100</t>
  </si>
  <si>
    <t xml:space="preserve">Fri-Sat 13-14 Nov</t>
  </si>
  <si>
    <t xml:space="preserve">QG4-300 (GTS UAT); SLT; BTP; legacy</t>
  </si>
  <si>
    <t xml:space="preserve">Mock3 + performance test to 6 Nov; UAT from 9 Nov</t>
  </si>
  <si>
    <t xml:space="preserve">Production</t>
  </si>
  <si>
    <t xml:space="preserve">Fri-Sat 20-21 Nov</t>
  </si>
  <si>
    <t xml:space="preserve">Production endpoints (pre-cutover)</t>
  </si>
  <si>
    <t xml:space="preserve">Cutover 7-31 Dec; go-live 1 Jan 2027</t>
  </si>
  <si>
    <t xml:space="preserve">QL4</t>
  </si>
  <si>
    <t xml:space="preserve">SLT server for Central Finance</t>
  </si>
  <si>
    <t xml:space="preserve">N</t>
  </si>
  <si>
    <t xml:space="preserve">not changed</t>
  </si>
  <si>
    <t xml:space="preserve">Suspend/resume around QS4 and SS4</t>
  </si>
  <si>
    <t xml:space="preserve">QS4 (CFIN)</t>
  </si>
  <si>
    <t xml:space="preserve">Confirm DMIS compatibility</t>
  </si>
  <si>
    <t xml:space="preserve">QL5</t>
  </si>
  <si>
    <t xml:space="preserve">Repoint to QS5 after copy</t>
  </si>
  <si>
    <t xml:space="preserve">QS5 (CFIN)</t>
  </si>
  <si>
    <t xml:space="preserve">DG4</t>
  </si>
  <si>
    <t xml:space="preserve">SAP GTS Development</t>
  </si>
  <si>
    <t xml:space="preserve">GTS</t>
  </si>
  <si>
    <t xml:space="preserve">Paused during DS4 window</t>
  </si>
  <si>
    <t xml:space="preserve">GTS release to confirm</t>
  </si>
  <si>
    <t xml:space="preserve">QG4</t>
  </si>
  <si>
    <t xml:space="preserve">SAP GTS QA (client 300 = UAT)</t>
  </si>
  <si>
    <t xml:space="preserve">300 (UAT) + SIT client tbc</t>
  </si>
  <si>
    <t xml:space="preserve">Paused during QS4 and SS4 windows</t>
  </si>
  <si>
    <t xml:space="preserve">QS4; SS4 (client 300)</t>
  </si>
  <si>
    <t xml:space="preserve">No GTS pre-production exists</t>
  </si>
  <si>
    <t xml:space="preserve">BTP</t>
  </si>
  <si>
    <t xml:space="preserve">AFC, MBC, DRC (MX), Work Zone Standard</t>
  </si>
  <si>
    <t xml:space="preserve">SaaS</t>
  </si>
  <si>
    <t xml:space="preserve">SAP-managed</t>
  </si>
  <si>
    <t xml:space="preserve">Connection checks after each window</t>
  </si>
  <si>
    <t xml:space="preserve">DS4, QS4, SS4, PS4</t>
  </si>
  <si>
    <t xml:space="preserve">Copies stay disconnected</t>
  </si>
  <si>
    <t xml:space="preserve">SAP ECS service requests</t>
  </si>
  <si>
    <t xml:space="preserve">Service identifiers from the SR form and the Upgrade Guide (UG 2.1, 3.5, 4.2, 4.3). Copy SR identifiers to be confirmed from the ECS catalog.</t>
  </si>
  <si>
    <t xml:space="preserve">SR number</t>
  </si>
  <si>
    <t xml:space="preserve">System</t>
  </si>
  <si>
    <t xml:space="preserve">Service identifier</t>
  </si>
  <si>
    <t xml:space="preserve">Purpose</t>
  </si>
  <si>
    <t xml:space="preserve">Window</t>
  </si>
  <si>
    <t xml:space="preserve">SAP status</t>
  </si>
  <si>
    <t xml:space="preserve">Owner</t>
  </si>
  <si>
    <t xml:space="preserve">Next action</t>
  </si>
  <si>
    <t xml:space="preserve">Raised on</t>
  </si>
  <si>
    <t xml:space="preserve">31018471</t>
  </si>
  <si>
    <t xml:space="preserve">BASIC_1.5.09 Update Software Version of Application (non-chargeable)</t>
  </si>
  <si>
    <t xml:space="preserve">XS4 FPS02 &gt; SPS06, MP 1002693650</t>
  </si>
  <si>
    <t xml:space="preserve">New: uptime Thu 22 - Fri 23 Oct, downtime Sat 24 Oct (first window was 9 Oct 02:45-10:45 UTC)</t>
  </si>
  <si>
    <t xml:space="preserve">Customer Action (14 Oct)</t>
  </si>
  <si>
    <t xml:space="preserve">After copy (1.01) and note check (1.03): update SPDD/SPAU answers and new window; send back to ECS</t>
  </si>
  <si>
    <t xml:space="preserve">raised (add no.)</t>
  </si>
  <si>
    <t xml:space="preserve">System copy (identifier per ECS catalog)</t>
  </si>
  <si>
    <t xml:space="preserve">Sandbox equal to current DS4 scope</t>
  </si>
  <si>
    <t xml:space="preserve">Wed 21 - Thu 22 Oct</t>
  </si>
  <si>
    <t xml:space="preserve">Confirm the copy start time with ECS</t>
  </si>
  <si>
    <t xml:space="preserve">to raise</t>
  </si>
  <si>
    <t xml:space="preserve">System copy (per ECS catalog)</t>
  </si>
  <si>
    <t xml:space="preserve">Temporary Dev on FPS02 (fallback)</t>
  </si>
  <si>
    <t xml:space="preserve">Tue 27 - Wed 28 Oct</t>
  </si>
  <si>
    <t xml:space="preserve">Raise Mon 19 Oct</t>
  </si>
  <si>
    <t xml:space="preserve">Temporary QA on FPS02 (fallback)</t>
  </si>
  <si>
    <t xml:space="preserve">Wed 4 - Thu 5 Nov</t>
  </si>
  <si>
    <t xml:space="preserve">BASIC_1.5.09</t>
  </si>
  <si>
    <t xml:space="preserve">DS4 FPS02 &gt; SPS06 (SPDD/SPAU here)</t>
  </si>
  <si>
    <t xml:space="preserve">Uptime Fri 30 Oct; downtime Sat 31 Oct</t>
  </si>
  <si>
    <t xml:space="preserve">Raise Mon 19 Oct with DS4 MPID</t>
  </si>
  <si>
    <t xml:space="preserve">QS4 FPS02 &gt; SPS06 (reuse DS4 transports)</t>
  </si>
  <si>
    <t xml:space="preserve">Downtime Sat 7 Nov</t>
  </si>
  <si>
    <t xml:space="preserve">Raise Mon 19 Oct; add SPDD/SPAU transport IDs after DS4</t>
  </si>
  <si>
    <t xml:space="preserve">SS4 FPS02 &gt; SPS06</t>
  </si>
  <si>
    <t xml:space="preserve">Downtime Fri night 13 - Sat 14 Nov</t>
  </si>
  <si>
    <t xml:space="preserve">PS4 FPS02 &gt; SPS06</t>
  </si>
  <si>
    <t xml:space="preserve">Downtime Fri night 20 - Sat 21 Nov</t>
  </si>
  <si>
    <t xml:space="preserve">DS5 FPS02 &gt; SPS06 after G4</t>
  </si>
  <si>
    <t xml:space="preserve">Raise after G4 (19 Nov)</t>
  </si>
  <si>
    <t xml:space="preserve">QS5 FPS02 &gt; SPS06 after G4</t>
  </si>
  <si>
    <t xml:space="preserve">if needed</t>
  </si>
  <si>
    <t xml:space="preserve">DB_1.1.11 / DB_1.1.12 (HANA), INFRA_1.6.12 (OS)</t>
  </si>
  <si>
    <t xml:space="preserve">Only if ECS requires separate DB/OS updates (task 0.06)</t>
  </si>
  <si>
    <t xml:space="preserve">Separate downtime (UG 4.3)</t>
  </si>
  <si>
    <t xml:space="preserve">Decide on ECS answer</t>
  </si>
  <si>
    <t xml:space="preserve">optional</t>
  </si>
  <si>
    <t xml:space="preserve">TO_NWABAP_1.5.08 (billable upgrade package)</t>
  </si>
  <si>
    <t xml:space="preserve">ECS performs SPDD/SPAU steps</t>
  </si>
  <si>
    <t xml:space="preserve">Decision D-O5</t>
  </si>
  <si>
    <t xml:space="preserve">BASIC_1.5.03 (billable CAS)</t>
  </si>
  <si>
    <t xml:space="preserve">ECS performs application notes or Fiori follow-ups</t>
  </si>
  <si>
    <t xml:space="preserve">Decision D-O4</t>
  </si>
  <si>
    <t xml:space="preserve">Risks, assumptions, issues, decisions</t>
  </si>
  <si>
    <t xml:space="preserve">Rating: High / Medium / Low. Status: Open / Closed.</t>
  </si>
  <si>
    <t xml:space="preserve">Description</t>
  </si>
  <si>
    <t xml:space="preserve">Impact</t>
  </si>
  <si>
    <t xml:space="preserve">Rating</t>
  </si>
  <si>
    <t xml:space="preserve">Mitigation / response</t>
  </si>
  <si>
    <t xml:space="preserve">Due</t>
  </si>
  <si>
    <t xml:space="preserve">I1</t>
  </si>
  <si>
    <t xml:space="preserve">Issue</t>
  </si>
  <si>
    <t xml:space="preserve">First XS4 update run paused by the SI-check (latest version of Note 2502552 needed); ECS reset SUM 14 Oct</t>
  </si>
  <si>
    <t xml:space="preserve">Sandbox rehearsal rescheduled to Sat 24 Oct</t>
  </si>
  <si>
    <t xml:space="preserve">Low</t>
  </si>
  <si>
    <t xml:space="preserve">Closed by the approach change on 15 Oct (D1): notes in DS4 (0.02, done), copy DS4 to XS4 (1.01), SI-check, SR 31018471 back to ECS (1.03)</t>
  </si>
  <si>
    <t xml:space="preserve">Closed</t>
  </si>
  <si>
    <t xml:space="preserve">I2</t>
  </si>
  <si>
    <t xml:space="preserve">Maintenance Plan 1002693650 covered XS4 only</t>
  </si>
  <si>
    <t xml:space="preserve">No stack file for other systems</t>
  </si>
  <si>
    <t xml:space="preserve">Closed: MP transaction per system created (0.05, done)</t>
  </si>
  <si>
    <t xml:space="preserve">I3</t>
  </si>
  <si>
    <t xml:space="preserve">Note number check in SR updates (2502662 was entered instead of 2502552 on 12 Oct)</t>
  </si>
  <si>
    <t xml:space="preserve">Wrong note attempted</t>
  </si>
  <si>
    <t xml:space="preserve">Closed: four-eyes check of note numbers in every SR update</t>
  </si>
  <si>
    <t xml:space="preserve">R1</t>
  </si>
  <si>
    <t xml:space="preserve">Risk</t>
  </si>
  <si>
    <t xml:space="preserve">ECS cannot schedule three copies and six SUM runs on the requested dates</t>
  </si>
  <si>
    <t xml:space="preserve">Chain slips</t>
  </si>
  <si>
    <t xml:space="preserve">High</t>
  </si>
  <si>
    <t xml:space="preserve">Copy SR for XS4 raised; remaining SRs Mon 19 Oct; MaxAttention escalation; Plan B (+1 week)</t>
  </si>
  <si>
    <t xml:space="preserve">Open</t>
  </si>
  <si>
    <t xml:space="preserve">R2</t>
  </si>
  <si>
    <t xml:space="preserve">SAP updates Note 2502552 between systems and the SI-check pauses SUM</t>
  </si>
  <si>
    <t xml:space="preserve">Window lost</t>
  </si>
  <si>
    <t xml:space="preserve">Check the note version 48 h before each window; re-run SI-check</t>
  </si>
  <si>
    <t xml:space="preserve">R3</t>
  </si>
  <si>
    <t xml:space="preserve">Copies (XS4, DS5, QS5) send data to GTS, SLT, MBC/banks, DRC/PAC, Ariba, OneSource, SailPoint</t>
  </si>
  <si>
    <t xml:space="preserve">Duplicate or false business messages</t>
  </si>
  <si>
    <t xml:space="preserve">Isolation checklist (0.10) executed and evidenced before any user logs on</t>
  </si>
  <si>
    <t xml:space="preserve">R4</t>
  </si>
  <si>
    <t xml:space="preserve">Five consecutive weekend windows (24 Oct - 22 Nov) for a 3-person Basis team</t>
  </si>
  <si>
    <t xml:space="preserve">Fatigue, errors</t>
  </si>
  <si>
    <t xml:space="preserve">Rota across onsite/offshore; ECS + MaxAttention cover; no Basis change work on weekdays after a window</t>
  </si>
  <si>
    <t xml:space="preserve">R5</t>
  </si>
  <si>
    <t xml:space="preserve">Dual maintenance DS5/DS4: a fix applied in one system only</t>
  </si>
  <si>
    <t xml:space="preserve">Regression at cutover</t>
  </si>
  <si>
    <t xml:space="preserve">Medium</t>
  </si>
  <si>
    <t xml:space="preserve">Retrofit log reconciled daily (2.10); Release 2 paused</t>
  </si>
  <si>
    <t xml:space="preserve">R6</t>
  </si>
  <si>
    <t xml:space="preserve">QS4 regression window is 4 days (9-12 Nov)</t>
  </si>
  <si>
    <t xml:space="preserve">Defects reach SS4</t>
  </si>
  <si>
    <t xml:space="preserve">P1 scripts only; FPS02 baseline; TR onsite the same week; Sandbox evidence first</t>
  </si>
  <si>
    <t xml:space="preserve">R7</t>
  </si>
  <si>
    <t xml:space="preserve">UAT week 1 on FPS02, weeks 2-4 on SPS06</t>
  </si>
  <si>
    <t xml:space="preserve">Defect attribution</t>
  </si>
  <si>
    <t xml:space="preserve">Tag UPG-SPS06; compare against QS4 results</t>
  </si>
  <si>
    <t xml:space="preserve">R8</t>
  </si>
  <si>
    <t xml:space="preserve">Mock3 runs on FPS02; cutover loads run on SPS06</t>
  </si>
  <si>
    <t xml:space="preserve">Load failures at cutover</t>
  </si>
  <si>
    <t xml:space="preserve">Syniti sample loads on SPS06 in QS4-100 (3.10); Syniti questions</t>
  </si>
  <si>
    <t xml:space="preserve">R9</t>
  </si>
  <si>
    <t xml:space="preserve">Partner confirmations (OpenText, SailPoint, Syniti, TR) not received before G1 / G3</t>
  </si>
  <si>
    <t xml:space="preserve">Unsupported combination</t>
  </si>
  <si>
    <t xml:space="preserve">E-mails sent 19-20 Oct; answers due 28 Oct; hold at G3 if open</t>
  </si>
  <si>
    <t xml:space="preserve">R10</t>
  </si>
  <si>
    <t xml:space="preserve">GTS has no pre-production: the SS4 window interrupts GTS UAT in QG4-300</t>
  </si>
  <si>
    <t xml:space="preserve">GTS UAT loses time</t>
  </si>
  <si>
    <t xml:space="preserve">Weekend window; GTS end-to-end proven in QS4 first (9-12 Nov)</t>
  </si>
  <si>
    <t xml:space="preserve">PwC Functional (GTS)</t>
  </si>
  <si>
    <t xml:space="preserve">R11</t>
  </si>
  <si>
    <t xml:space="preserve">ECS requires a separate HANA/OS downtime</t>
  </si>
  <si>
    <t xml:space="preserve">Extra windows</t>
  </si>
  <si>
    <t xml:space="preserve">Ask now (0.06); combine with copy windows where possible</t>
  </si>
  <si>
    <t xml:space="preserve">R12</t>
  </si>
  <si>
    <t xml:space="preserve">Fiori UI content FPS03 deprecates apps in use</t>
  </si>
  <si>
    <t xml:space="preserve">Missing tiles</t>
  </si>
  <si>
    <t xml:space="preserve">Impact analysis (0.17); successor apps in roles</t>
  </si>
  <si>
    <t xml:space="preserve">R13</t>
  </si>
  <si>
    <t xml:space="preserve">CFIN replication backlog after resume</t>
  </si>
  <si>
    <t xml:space="preserve">Reconciliation delay</t>
  </si>
  <si>
    <t xml:space="preserve">Drain before; reconcile after (3.07, 4.05)</t>
  </si>
  <si>
    <t xml:space="preserve">PwC Functional (CFIN)</t>
  </si>
  <si>
    <t xml:space="preserve">R14</t>
  </si>
  <si>
    <t xml:space="preserve">New side effects published after SPS06 is installed</t>
  </si>
  <si>
    <t xml:space="preserve">Unexpected defects</t>
  </si>
  <si>
    <t xml:space="preserve">Weekly side-effect watch (7.01)</t>
  </si>
  <si>
    <t xml:space="preserve">A1</t>
  </si>
  <si>
    <t xml:space="preserve">Assumption</t>
  </si>
  <si>
    <t xml:space="preserve">Project dates per Plan on a Page (9/21) and user updates: SIT2 28 Sep - 6 Nov (QS4-200); Mock3 19 Oct - 6 Nov and performance test 14 Oct - 6 Nov (SS4-100); UAT 9 Nov - 4 Dec (SS4-100); Go/No-Go at UAT end; cutover 7 - 31 Dec; go-live 1 Jan 2027</t>
  </si>
  <si>
    <t xml:space="preserve">A2</t>
  </si>
  <si>
    <t xml:space="preserve">Downtime per system is about 8 h (XS4 SR window); actual duration is measured in XS4 (1.11)</t>
  </si>
  <si>
    <t xml:space="preserve">A3</t>
  </si>
  <si>
    <t xml:space="preserve">Copies are taken from backups, so DS4 and QS4 stay available during the copy (ECS to confirm)</t>
  </si>
  <si>
    <t xml:space="preserve">A4</t>
  </si>
  <si>
    <t xml:space="preserve">No test automation; all regression is manual (USER)</t>
  </si>
  <si>
    <t xml:space="preserve">A5</t>
  </si>
  <si>
    <t xml:space="preserve">Release 2 is paused (USER); N+1 activity is limited to fallback and fixes</t>
  </si>
  <si>
    <t xml:space="preserve">A6</t>
  </si>
  <si>
    <t xml:space="preserve">PS4 holds no business data before cutover (7 Dec)</t>
  </si>
  <si>
    <t xml:space="preserve">A7</t>
  </si>
  <si>
    <t xml:space="preserve">Times are US Central (SR log shows America/Chicago); ECS windows are agreed in UTC</t>
  </si>
  <si>
    <t xml:space="preserve">D1</t>
  </si>
  <si>
    <t xml:space="preserve">Decision</t>
  </si>
  <si>
    <t xml:space="preserve">Copy DS4 to XS4, then rerun SUM on XS4; Sandbox preparation from Thu 15 Oct (USER)</t>
  </si>
  <si>
    <t xml:space="preserve">Girish Ogirala</t>
  </si>
  <si>
    <t xml:space="preserve">D2</t>
  </si>
  <si>
    <t xml:space="preserve">Copy DS4 &gt; DS5 and QS4 &gt; QS5, then upgrade DS4 and QS4 (SAP temporary landscape, UG 3.1) (USER)</t>
  </si>
  <si>
    <t xml:space="preserve">D3</t>
  </si>
  <si>
    <t xml:space="preserve">Weekend windows: DS4 31 Oct, QS4 7 Nov, SS4 13-14 Nov, PS4 20-21 Nov (USER option 1 + weekend)</t>
  </si>
  <si>
    <t xml:space="preserve">D4</t>
  </si>
  <si>
    <t xml:space="preserve">DS5/QS5 stay FPS02 as fallback until G4, then upgrade w/c 30 Nov (USER)</t>
  </si>
  <si>
    <t xml:space="preserve">D5</t>
  </si>
  <si>
    <t xml:space="preserve">No test automation (USER)</t>
  </si>
  <si>
    <t xml:space="preserve">D-O1</t>
  </si>
  <si>
    <t xml:space="preserve">OPEN: SDMI in uptime (default, recommended) or forced in downtime (must be stated in the SR, UG 6.1)</t>
  </si>
  <si>
    <t xml:space="preserve">Recommend default uptime</t>
  </si>
  <si>
    <t xml:space="preserve">D-O2</t>
  </si>
  <si>
    <t xml:space="preserve">OPEN: connect XS4 to DG4 for GTS tests? Recommend no; prove GTS in QS4 + QG4</t>
  </si>
  <si>
    <t xml:space="preserve">Recommend no</t>
  </si>
  <si>
    <t xml:space="preserve">D-O3</t>
  </si>
  <si>
    <t xml:space="preserve">OPEN: use Data Transition Validation (Note 3117879) for QS4-200 finance reports? Optional</t>
  </si>
  <si>
    <t xml:space="preserve">Optional</t>
  </si>
  <si>
    <t xml:space="preserve">D-O4</t>
  </si>
  <si>
    <t xml:space="preserve">OPEN: Fiori follow-ups by INTL Basis or ECS CAS (BASIC_1.5.03, billable)</t>
  </si>
  <si>
    <t xml:space="preserve">Recommend INTL Basis</t>
  </si>
  <si>
    <t xml:space="preserve">D-O5</t>
  </si>
  <si>
    <t xml:space="preserve">OPEN: SPDD/SPAU by PwC Technical or ECS billable package (TO_NWABAP_1.5.08)</t>
  </si>
  <si>
    <t xml:space="preserve">Recommend PwC unless XS4 shows high volume</t>
  </si>
  <si>
    <t xml:space="preserve">Sandbox (XS4) test plan - definition of done before G1</t>
  </si>
  <si>
    <t xml:space="preserve">XS4 is isolated after the copy, so connected scenarios are proven in QS4 / SS4 (column F).</t>
  </si>
  <si>
    <t xml:space="preserve">Test ID</t>
  </si>
  <si>
    <t xml:space="preserve">Area</t>
  </si>
  <si>
    <t xml:space="preserve">Test</t>
  </si>
  <si>
    <t xml:space="preserve">Done when</t>
  </si>
  <si>
    <t xml:space="preserve">Can run in XS4?</t>
  </si>
  <si>
    <t xml:space="preserve">Otherwise proven in</t>
  </si>
  <si>
    <t xml:space="preserve">Evidence / defect</t>
  </si>
  <si>
    <t xml:space="preserve">SBX-01</t>
  </si>
  <si>
    <t xml:space="preserve">Technical</t>
  </si>
  <si>
    <t xml:space="preserve">SUM finished; component levels equal MP 1002693650 target</t>
  </si>
  <si>
    <t xml:space="preserve">System status shows S4CORE 108 SP06, SAP_BASIS 758 SP06, add-on SPs as MP</t>
  </si>
  <si>
    <t xml:space="preserve">Yes</t>
  </si>
  <si>
    <t xml:space="preserve">SBX-02</t>
  </si>
  <si>
    <t xml:space="preserve">Downtime and runtime measured</t>
  </si>
  <si>
    <t xml:space="preserve">Actual vs 8 h window recorded; windows confirmed (1.11)</t>
  </si>
  <si>
    <t xml:space="preserve">SBX-03</t>
  </si>
  <si>
    <t xml:space="preserve">SI-check before downtime</t>
  </si>
  <si>
    <t xml:space="preserve">No RC &gt;= 8; RC 7 exemptions logged</t>
  </si>
  <si>
    <t xml:space="preserve">SBX-04</t>
  </si>
  <si>
    <t xml:space="preserve">Code</t>
  </si>
  <si>
    <t xml:space="preserve">SPDD, SPAU, SPAU_ENH worklist</t>
  </si>
  <si>
    <t xml:space="preserve">Object count and effort for DS4</t>
  </si>
  <si>
    <t xml:space="preserve">SBX-05</t>
  </si>
  <si>
    <t xml:space="preserve">System health: SICK, SM21, ST22, SM37, SM59, STMS, SMICM, SGEN</t>
  </si>
  <si>
    <t xml:space="preserve">No new dumps or errors vs DS4 baseline</t>
  </si>
  <si>
    <t xml:space="preserve">SBX-06</t>
  </si>
  <si>
    <t xml:space="preserve">Silent data migration</t>
  </si>
  <si>
    <t xml:space="preserve">SDM_MON complete in all clients; SDM_USER present</t>
  </si>
  <si>
    <t xml:space="preserve">SBX-07</t>
  </si>
  <si>
    <t xml:space="preserve">Fiori</t>
  </si>
  <si>
    <t xml:space="preserve">Embedded launchpad and top apps per stream</t>
  </si>
  <si>
    <t xml:space="preserve">Tiles open; caches invalidated; SICF nodes active</t>
  </si>
  <si>
    <t xml:space="preserve">INTL Basis + PwC Technical</t>
  </si>
  <si>
    <t xml:space="preserve">SBX-08</t>
  </si>
  <si>
    <t xml:space="preserve">Work Zone tiles</t>
  </si>
  <si>
    <t xml:space="preserve">Tiles open from Work Zone</t>
  </si>
  <si>
    <t xml:space="preserve">No</t>
  </si>
  <si>
    <t xml:space="preserve">DS4 2 Nov; QS4 8-12 Nov</t>
  </si>
  <si>
    <t xml:space="preserve">SBX-09</t>
  </si>
  <si>
    <t xml:space="preserve">ATC on SPS06; critical custom programs, enhancements, forms, workflows</t>
  </si>
  <si>
    <t xml:space="preserve">Zero priority-1 ATC findings; smoke list passed</t>
  </si>
  <si>
    <t xml:space="preserve">SBX-10</t>
  </si>
  <si>
    <t xml:space="preserve">Security</t>
  </si>
  <si>
    <t xml:space="preserve">SU25 2a/2b; role delta; stream test users log on</t>
  </si>
  <si>
    <t xml:space="preserve">Role delta list; users work</t>
  </si>
  <si>
    <t xml:space="preserve">SBX-11</t>
  </si>
  <si>
    <t xml:space="preserve">GRC AC 12.0 SP32 post-steps and risk analysis</t>
  </si>
  <si>
    <t xml:space="preserve">Sync jobs and analysis run</t>
  </si>
  <si>
    <t xml:space="preserve">Partial</t>
  </si>
  <si>
    <t xml:space="preserve">Connected systems: QS4 9-11 Nov</t>
  </si>
  <si>
    <t xml:space="preserve">SBX-12</t>
  </si>
  <si>
    <t xml:space="preserve">Side-effect notes: HotNews 3777415, 3563542, then High</t>
  </si>
  <si>
    <t xml:space="preserve">Implemented and tested; bundle order fixed</t>
  </si>
  <si>
    <t xml:space="preserve">SBX-13</t>
  </si>
  <si>
    <t xml:space="preserve">OTC</t>
  </si>
  <si>
    <t xml:space="preserve">Order &gt; delivery &gt; billing; credit memo</t>
  </si>
  <si>
    <t xml:space="preserve">Documents post; tax via OneSource disconnected</t>
  </si>
  <si>
    <t xml:space="preserve">OneSource: QS4 9-12 Nov with TR</t>
  </si>
  <si>
    <t xml:space="preserve">SBX-14</t>
  </si>
  <si>
    <t xml:space="preserve">STP</t>
  </si>
  <si>
    <t xml:space="preserve">PR &gt; PO &gt; GR &gt; invoice</t>
  </si>
  <si>
    <t xml:space="preserve">Documents post; no Ariba send</t>
  </si>
  <si>
    <t xml:space="preserve">Ariba CIG: QS4 9-12 Nov</t>
  </si>
  <si>
    <t xml:space="preserve">SBX-15</t>
  </si>
  <si>
    <t xml:space="preserve">RTR</t>
  </si>
  <si>
    <t xml:space="preserve">GL posting, FX valuation, allocation, depreciation run</t>
  </si>
  <si>
    <t xml:space="preserve">Results match DS4 logic</t>
  </si>
  <si>
    <t xml:space="preserve">SBX-16</t>
  </si>
  <si>
    <t xml:space="preserve">ITD</t>
  </si>
  <si>
    <t xml:space="preserve">GR/GI, stock, material ledger</t>
  </si>
  <si>
    <t xml:space="preserve">Postings and valuation correct (HotNews 3777415 area)</t>
  </si>
  <si>
    <t xml:space="preserve">SBX-17</t>
  </si>
  <si>
    <t xml:space="preserve">CFIN</t>
  </si>
  <si>
    <t xml:space="preserve">AIF monitor, mapping, replicated documents</t>
  </si>
  <si>
    <t xml:space="preserve">Replication works</t>
  </si>
  <si>
    <t xml:space="preserve">QS4 via QL4 9-12 Nov</t>
  </si>
  <si>
    <t xml:space="preserve">SBX-18</t>
  </si>
  <si>
    <t xml:space="preserve">VIM</t>
  </si>
  <si>
    <t xml:space="preserve">DP document, parking, approval workflow, posting; VIM Fiori apps</t>
  </si>
  <si>
    <t xml:space="preserve">Flow completes without capture</t>
  </si>
  <si>
    <t xml:space="preserve">Capture and archive: QS4 9-12 Nov</t>
  </si>
  <si>
    <t xml:space="preserve">PwC Functional (VIM)</t>
  </si>
  <si>
    <t xml:space="preserve">SBX-19</t>
  </si>
  <si>
    <t xml:space="preserve">DRC</t>
  </si>
  <si>
    <t xml:space="preserve">Mexico eDocument created in the eDocument cockpit</t>
  </si>
  <si>
    <t xml:space="preserve">eDocument created; not submitted</t>
  </si>
  <si>
    <t xml:space="preserve">PAC submission: QS4 9-12 Nov</t>
  </si>
  <si>
    <t xml:space="preserve">PwC Functional (DRC)</t>
  </si>
  <si>
    <t xml:space="preserve">SBX-20</t>
  </si>
  <si>
    <t xml:space="preserve">MBC</t>
  </si>
  <si>
    <t xml:space="preserve">Payment run creates the payment file</t>
  </si>
  <si>
    <t xml:space="preserve">File created; not sent</t>
  </si>
  <si>
    <t xml:space="preserve">Transmission: QS4 9-12 Nov</t>
  </si>
  <si>
    <t xml:space="preserve">PwC Functional (MBC)</t>
  </si>
  <si>
    <t xml:space="preserve">SBX-21</t>
  </si>
  <si>
    <t xml:space="preserve">AFC</t>
  </si>
  <si>
    <t xml:space="preserve">Programs and variants used by AFC tasks run locally</t>
  </si>
  <si>
    <t xml:space="preserve">Jobs finish</t>
  </si>
  <si>
    <t xml:space="preserve">AFC tenant: DS4 3-4 Nov, QS4 9-12 Nov</t>
  </si>
  <si>
    <t xml:space="preserve">PwC Functional (AFC)</t>
  </si>
  <si>
    <t xml:space="preserve">SBX-22</t>
  </si>
  <si>
    <t xml:space="preserve">Plug-in customizing and transfer programs open without errors</t>
  </si>
  <si>
    <t xml:space="preserve">No dumps; no RFC to GTS</t>
  </si>
  <si>
    <t xml:space="preserve">With QG4: QS4 9-12 Nov</t>
  </si>
  <si>
    <t xml:space="preserve">SBX-23</t>
  </si>
  <si>
    <t xml:space="preserve">SailPoint</t>
  </si>
  <si>
    <t xml:space="preserve">SailPoint objects active; connector user role after SU25</t>
  </si>
  <si>
    <t xml:space="preserve">Objects active; role OK</t>
  </si>
  <si>
    <t xml:space="preserve">Aggregation/provisioning: QS4 9-11 Nov</t>
  </si>
  <si>
    <t xml:space="preserve">SBX-24</t>
  </si>
  <si>
    <t xml:space="preserve">Data migration</t>
  </si>
  <si>
    <t xml:space="preserve">Syniti objects active; sample load if data allows</t>
  </si>
  <si>
    <t xml:space="preserve">Objects active</t>
  </si>
  <si>
    <t xml:space="preserve">Sample loads: QS4-100 9-11 Nov</t>
  </si>
  <si>
    <t xml:space="preserve">SBX-25</t>
  </si>
  <si>
    <t xml:space="preserve">Output</t>
  </si>
  <si>
    <t xml:space="preserve">Forms render; spool and print preview</t>
  </si>
  <si>
    <t xml:space="preserve">Output correct</t>
  </si>
  <si>
    <t xml:space="preserve">SBX-26</t>
  </si>
  <si>
    <t xml:space="preserve">Batch</t>
  </si>
  <si>
    <t xml:space="preserve">Top background jobs with production variants</t>
  </si>
  <si>
    <t xml:space="preserve">Jobs finish without errors</t>
  </si>
  <si>
    <t xml:space="preserve">SBX-27</t>
  </si>
  <si>
    <t xml:space="preserve">Performance</t>
  </si>
  <si>
    <t xml:space="preserve">Key transaction response vs DS4</t>
  </si>
  <si>
    <t xml:space="preserve">No obvious degradation (sizing differs)</t>
  </si>
  <si>
    <t xml:space="preserve">SS4 delta check 16-18 Nov</t>
  </si>
  <si>
    <t xml:space="preserve">SBX-28</t>
  </si>
  <si>
    <t xml:space="preserve">Interfaces</t>
  </si>
  <si>
    <t xml:space="preserve">IDoc/RFC/OData simulated inbound and outbound</t>
  </si>
  <si>
    <t xml:space="preserve">Messages process locally</t>
  </si>
  <si>
    <t xml:space="preserve">Real partners: QS4 9-12 Nov</t>
  </si>
  <si>
    <t xml:space="preserve">SBX-29</t>
  </si>
  <si>
    <t xml:space="preserve">Isolation</t>
  </si>
  <si>
    <t xml:space="preserve">No outbound connection to real endpoints</t>
  </si>
  <si>
    <t xml:space="preserve">Isolation checklist evidenced</t>
  </si>
  <si>
    <t xml:space="preserve">SBX-30</t>
  </si>
  <si>
    <t xml:space="preserve">Front end</t>
  </si>
  <si>
    <t xml:space="preserve">SAP GUI version in use logs on and runs key transactions</t>
  </si>
  <si>
    <t xml:space="preserve">Works</t>
  </si>
  <si>
    <t xml:space="preserve">Definition of done (G1)</t>
  </si>
  <si>
    <t xml:space="preserve">1. Every "Yes" test passed with evidence in qTest.</t>
  </si>
  <si>
    <t xml:space="preserve">2. Every "Partial" or "No" test has a named follow-up test, system and date (column F).</t>
  </si>
  <si>
    <t xml:space="preserve">3. All UPG-SPS06 defects from XS4 triaged; none Sev1/Sev2 open.</t>
  </si>
  <si>
    <t xml:space="preserve">4. SPDD/SPAU and note effort sized for DS4; downtime confirmed with ECS.</t>
  </si>
  <si>
    <t xml:space="preserve">5. G1 signed by INTL PMO with INTL Basis, PwC Technical and INTL Test Lead.</t>
  </si>
  <si>
    <t xml:space="preserve">Integration impact and plan</t>
  </si>
  <si>
    <t xml:space="preserve">One row per connected application. Copy isolation applies to XS4, DS5 and QS5.</t>
  </si>
  <si>
    <t xml:space="preserve">Application</t>
  </si>
  <si>
    <t xml:space="preserve">Systems</t>
  </si>
  <si>
    <t xml:space="preserve">What SPS06 changes</t>
  </si>
  <si>
    <t xml:space="preserve">Copy isolation (XS4, DS5, QS5)</t>
  </si>
  <si>
    <t xml:space="preserve">During upgrade windows</t>
  </si>
  <si>
    <t xml:space="preserve">Test where / when</t>
  </si>
  <si>
    <t xml:space="preserve">Central Finance + SLT</t>
  </si>
  <si>
    <t xml:space="preserve">S/4 (CFIN in same system); QL4 (N), QL5 (N+1)</t>
  </si>
  <si>
    <t xml:space="preserve">CFIN application code (incl. AIF) changes inside the stack; SER in-scope AIF note 3767655. SLT servers are not upgraded.</t>
  </si>
  <si>
    <t xml:space="preserve">XS4 and DS5 have no SLT; QS5 copies QS4 settings: block QL4 links and repoint to QL5 (task 3.11)</t>
  </si>
  <si>
    <t xml:space="preserve">Suspend replication on QL4 before QS4 (6 Nov) and SS4 (13 Nov); drain AIF; resume and reconcile after</t>
  </si>
  <si>
    <t xml:space="preserve">QS4 9-12 Nov (P1 CFIN); SS4 UAT from 16 Nov</t>
  </si>
  <si>
    <t xml:space="preserve">PwC Functional (CFIN) + INTL Basis</t>
  </si>
  <si>
    <t xml:space="preserve">SAP GTS</t>
  </si>
  <si>
    <t xml:space="preserve">DG4 (Dev), QG4 (QA; client 300 = UAT)</t>
  </si>
  <si>
    <t xml:space="preserve">GTS is not upgraded. The S/4 side of the integration (plug-in in the S/4 core) changes with the stack.</t>
  </si>
  <si>
    <t xml:space="preserve">XS4, DS5, QS5 must not reach DG4/QG4 (they would send under the source logical system)</t>
  </si>
  <si>
    <t xml:space="preserve">Pause transfers for DS4, QS4 and SS4 windows; retransfer check after</t>
  </si>
  <si>
    <t xml:space="preserve">QS4-200 with QG4 9-12 Nov; QG4-300 with SS4 UAT from 16 Nov (no GTS pre-prod)</t>
  </si>
  <si>
    <t xml:space="preserve">PwC Functional (GTS) + INTL Basis</t>
  </si>
  <si>
    <t xml:space="preserve">SAP AFC (BTP)</t>
  </si>
  <si>
    <t xml:space="preserve">AFC tenant(s); S/4 via Cloud Connector</t>
  </si>
  <si>
    <t xml:space="preserve">AFC itself is SaaS. S/4 programs and variants scheduled by AFC run on the new stack.</t>
  </si>
  <si>
    <t xml:space="preserve">Copies are not registered in AFC; do not add them</t>
  </si>
  <si>
    <t xml:space="preserve">Pause AFC task runs against the system in its window</t>
  </si>
  <si>
    <t xml:space="preserve">Connection + one closing task in DS4 (3-4 Nov) and QS4 (9-12 Nov)</t>
  </si>
  <si>
    <t xml:space="preserve">PwC Functional (AFC) + SAP BTP team</t>
  </si>
  <si>
    <t xml:space="preserve">SAP MBC (BTP)</t>
  </si>
  <si>
    <t xml:space="preserve">MBC tenant; S/4 payment and bank-statement interfaces</t>
  </si>
  <si>
    <t xml:space="preserve">Payment medium and bank-statement processing run on the new stack; SER in-scope notes per stream test focus.</t>
  </si>
  <si>
    <t xml:space="preserve">High risk: a copy keeps the MBC certificate and destination. Disable in XS4, DS5, QS5</t>
  </si>
  <si>
    <t xml:space="preserve">Hold payment file transmission during windows</t>
  </si>
  <si>
    <t xml:space="preserve">F110 file creation in XS4 (no send); end-to-end in QS4 9-12 Nov</t>
  </si>
  <si>
    <t xml:space="preserve">PwC Functional (MBC) + INTL Basis</t>
  </si>
  <si>
    <t xml:space="preserve">SAP DRC - Mexico</t>
  </si>
  <si>
    <t xml:space="preserve">eDocument framework in S/4; submission via BTP to the PAC</t>
  </si>
  <si>
    <t xml:space="preserve">eDocument and legal-change code ships in the stack; the Mexico deployment (21 Sep - 3 Oct) was built on FPS02. SER in-scope DRC note 3830404 (US).</t>
  </si>
  <si>
    <t xml:space="preserve">Disable eDocument submission in copies (risk of test folios at the PAC)</t>
  </si>
  <si>
    <t xml:space="preserve">Hold submissions during windows; resubmit from the eDocument cockpit</t>
  </si>
  <si>
    <t xml:space="preserve">Create in XS4 (no submission); submit in QS4 9-12 Nov; UAT from 16 Nov</t>
  </si>
  <si>
    <t xml:space="preserve">PwC Functional (DRC) + SAP BTP team</t>
  </si>
  <si>
    <t xml:space="preserve">SAP Build Work Zone Standard</t>
  </si>
  <si>
    <t xml:space="preserve">Work Zone tenant; S/4 content exposure</t>
  </si>
  <si>
    <t xml:space="preserve">Launchpad content (UI content FPS02 &gt; FPS03, SAP_UI 758 SP06) is re-exposed after each upgrade.</t>
  </si>
  <si>
    <t xml:space="preserve">Copies are not content providers</t>
  </si>
  <si>
    <t xml:space="preserve">Re-expose and re-sync the content channel after each window</t>
  </si>
  <si>
    <t xml:space="preserve">Embedded launchpad in XS4; Work Zone in DS4, QS4, SS4, PS4</t>
  </si>
  <si>
    <t xml:space="preserve">SAP GRC Access Control 12.0</t>
  </si>
  <si>
    <t xml:space="preserve">Embedded in S/4 (GRCFND_A V8100, GRCPINW, UIGRAC01)</t>
  </si>
  <si>
    <t xml:space="preserve">Upgraded inside the same SUM: AC 12.0 for S/4HANA SP29 &gt; SP32; Fiori for AC 2.0 SP02 &gt; SP03 (MP).</t>
  </si>
  <si>
    <t xml:space="preserve">Copies keep GRC connectors to other systems: deactivate</t>
  </si>
  <si>
    <t xml:space="preserve">No separate window</t>
  </si>
  <si>
    <t xml:space="preserve">Post-steps and ARA in XS4; regression in QS4 9-11 Nov</t>
  </si>
  <si>
    <t xml:space="preserve">SailPoint identity platform; SAP connector via RFC</t>
  </si>
  <si>
    <t xml:space="preserve">SailPoint objects in S/4 are customer/partner transports; SU25 role changes can affect the connector user.</t>
  </si>
  <si>
    <t xml:space="preserve">Do not aggregate or provision copies (unless defined as new applications)</t>
  </si>
  <si>
    <t xml:space="preserve">Pause aggregation and provisioning for the target system</t>
  </si>
  <si>
    <t xml:space="preserve">Objects active in XS4; aggregation and provisioning in QS4 9-11 Nov</t>
  </si>
  <si>
    <t xml:space="preserve">INTL SAP Security + SailPoint</t>
  </si>
  <si>
    <t xml:space="preserve">Syniti (data migration)</t>
  </si>
  <si>
    <t xml:space="preserve">Syniti platform; RFC to S/4; Mock3 on SS4-100</t>
  </si>
  <si>
    <t xml:space="preserve">Load programs and SAP APIs used by Syniti run on the new stack from SS4 (14 Nov) and PS4 (21 Nov). SER in-scope migration notes 3805046, 3791609, 3789840.</t>
  </si>
  <si>
    <t xml:space="preserve">No Syniti connection to copies</t>
  </si>
  <si>
    <t xml:space="preserve">No loads into a system in its window</t>
  </si>
  <si>
    <t xml:space="preserve">Mock3 on FPS02 (no change); sample loads on SPS06 in QS4-100 9-11 Nov</t>
  </si>
  <si>
    <t xml:space="preserve">PwC Data Migration + Syniti</t>
  </si>
  <si>
    <t xml:space="preserve">OpenText VIM 23.4 + ADA 23.4</t>
  </si>
  <si>
    <t xml:space="preserve">In S/4 (OTVIM* 02023_001); archive and capture outside S/4</t>
  </si>
  <si>
    <t xml:space="preserve">Partner add-on SPs move inside the stack: FND/INV SP03 &gt; SP04, O2C/P2P SP01 &gt; SP02; ADA stays at initial shipment (MP). The SER lists no OpenText components.</t>
  </si>
  <si>
    <t xml:space="preserve">Disable archive, capture and e-mail connections in copies</t>
  </si>
  <si>
    <t xml:space="preserve">Stop inbound capture during windows</t>
  </si>
  <si>
    <t xml:space="preserve">VIM flow in XS4 without capture; end-to-end in QS4 9-12 Nov</t>
  </si>
  <si>
    <t xml:space="preserve">PwC Functional (VIM) + INTL Basis + OpenText</t>
  </si>
  <si>
    <t xml:space="preserve">Thomson Reuters OneSource</t>
  </si>
  <si>
    <t xml:space="preserve">OneSource tax engine; S/4 tax interface</t>
  </si>
  <si>
    <t xml:space="preserve">Tax interface code in the stack; SER in-scope notes in OTC/STP stream focus.</t>
  </si>
  <si>
    <t xml:space="preserve">Disconnect copies from OneSource</t>
  </si>
  <si>
    <t xml:space="preserve">No impact beyond the window</t>
  </si>
  <si>
    <t xml:space="preserve">QS4 9-12 Nov with TR onsite (w/c 9 Nov)</t>
  </si>
  <si>
    <t xml:space="preserve">PwC Functional (OneSource) + TR</t>
  </si>
  <si>
    <t xml:space="preserve">SAP Ariba (CIG add-on)</t>
  </si>
  <si>
    <t xml:space="preserve">Ariba Network via CIG</t>
  </si>
  <si>
    <t xml:space="preserve">Ariba Cloud Integration for S/4HANA 1.0 moves 21 &gt; 27 FPS (MP).</t>
  </si>
  <si>
    <t xml:space="preserve">Disable CIG connectivity in copies</t>
  </si>
  <si>
    <t xml:space="preserve">Queue outbound during windows</t>
  </si>
  <si>
    <t xml:space="preserve">QS4 9-12 Nov (P1 STP)</t>
  </si>
  <si>
    <t xml:space="preserve">PwC Functional (STP)</t>
  </si>
  <si>
    <t xml:space="preserve">Legacy interfaces</t>
  </si>
  <si>
    <t xml:space="preserve">Non-SAP systems connected to QS4 / SS4</t>
  </si>
  <si>
    <t xml:space="preserve">Interface code on the S/4 side runs on the new stack.</t>
  </si>
  <si>
    <t xml:space="preserve">Disable in copies</t>
  </si>
  <si>
    <t xml:space="preserve">Notify interface owners of each window</t>
  </si>
  <si>
    <t xml:space="preserve">QS4 9-12 Nov; SS4 UAT from 16 Nov</t>
  </si>
  <si>
    <t xml:space="preserve">INTL Legacy teams + INTL Basis</t>
  </si>
  <si>
    <t xml:space="preserve">Vendor questions and e-mail drafts</t>
  </si>
  <si>
    <t xml:space="preserve">Send the e-mails on Mon 19 Oct; answers due Wed 28 Oct. Record answers in the yellow cells.</t>
  </si>
  <si>
    <t xml:space="preserve">Vendor</t>
  </si>
  <si>
    <t xml:space="preserve">Question</t>
  </si>
  <si>
    <t xml:space="preserve">Asked on</t>
  </si>
  <si>
    <t xml:space="preserve">Answer</t>
  </si>
  <si>
    <t xml:space="preserve">Answered on</t>
  </si>
  <si>
    <t xml:space="preserve">OpenText</t>
  </si>
  <si>
    <t xml:space="preserve">OT-1</t>
  </si>
  <si>
    <t xml:space="preserve">Confirm VIM 23.4 (FND and INV SP04, O2C and P2P SP02, Fiori OTVIMFUI) and ADA 23.4 (initial shipment) are released for SAP S/4HANA 2023 SPS06 (S4CORE 108 SP06, SAP_BASIS / SAP_UI 758 SP06) on RISE Private Cloud.</t>
  </si>
  <si>
    <t xml:space="preserve">OT-2</t>
  </si>
  <si>
    <t xml:space="preserve">Are there known issues, hotfixes or mandatory patches for these SPs on 2023 SPS06?</t>
  </si>
  <si>
    <t xml:space="preserve">OT-3</t>
  </si>
  <si>
    <t xml:space="preserve">Which post-update steps are required after the SP move (configuration checks, BC sets, workflow or BRF+ regeneration, Fiori caches and catalogs)?</t>
  </si>
  <si>
    <t xml:space="preserve">OT-4</t>
  </si>
  <si>
    <t xml:space="preserve">Do the SPs run conversion reports or data changes during import? Are they safe if SUM is restarted?</t>
  </si>
  <si>
    <t xml:space="preserve">OT-5</t>
  </si>
  <si>
    <t xml:space="preserve">Any version dependency with components outside S/4 (capture, archive server, ArchiveLink)?</t>
  </si>
  <si>
    <t xml:space="preserve">OT-6</t>
  </si>
  <si>
    <t xml:space="preserve">Which connections must be disabled after a homogeneous system copy (Sandbox and N+1 copies), and how are they re-registered?</t>
  </si>
  <si>
    <t xml:space="preserve">OT-7</t>
  </si>
  <si>
    <t xml:space="preserve">Recommended regression scope after the SP update, and weekend support for 31 Oct, 7, 14 and 21 Nov.</t>
  </si>
  <si>
    <t xml:space="preserve">Thomson Reuters</t>
  </si>
  <si>
    <t xml:space="preserve">TR-1</t>
  </si>
  <si>
    <t xml:space="preserve">Confirm the OneSource Indirect Tax integration in use is supported on SAP S/4HANA 2023 SPS06.</t>
  </si>
  <si>
    <t xml:space="preserve">TR-2</t>
  </si>
  <si>
    <t xml:space="preserve">Is any SAP-side transport or configuration change needed for SPS06?</t>
  </si>
  <si>
    <t xml:space="preserve">TR-3</t>
  </si>
  <si>
    <t xml:space="preserve">Can the onsite team (w/c 9 Nov) validate tax determination on QS4 client 200 (SPS06) during 9-12 Nov?</t>
  </si>
  <si>
    <t xml:space="preserve">TR-4</t>
  </si>
  <si>
    <t xml:space="preserve">How should copied systems (Sandbox, N+1) be disconnected from OneSource?</t>
  </si>
  <si>
    <t xml:space="preserve">SP-1</t>
  </si>
  <si>
    <t xml:space="preserve">Confirm the SailPoint SAP connector and SailPoint-delivered SAP transports in use support SAP S/4HANA 2023 SPS06 (SAP_BASIS 758 SP06).</t>
  </si>
  <si>
    <t xml:space="preserve">SP-2</t>
  </si>
  <si>
    <t xml:space="preserve">Is a new transport version or connector configuration change needed?</t>
  </si>
  <si>
    <t xml:space="preserve">SP-3</t>
  </si>
  <si>
    <t xml:space="preserve">How should aggregation and provisioning be paused for a system during its upgrade window, and how are failed operations replayed?</t>
  </si>
  <si>
    <t xml:space="preserve">SP-4</t>
  </si>
  <si>
    <t xml:space="preserve">Recommended regression tests (aggregation, create, modify, lock, unlock, role assignment, password reset), and any dependency on GRC AC 12.0 SP32.</t>
  </si>
  <si>
    <t xml:space="preserve">SP-5</t>
  </si>
  <si>
    <t xml:space="preserve">Confirm copied systems will not be aggregated unless defined as new applications.</t>
  </si>
  <si>
    <t xml:space="preserve">Syniti</t>
  </si>
  <si>
    <t xml:space="preserve">SY-1</t>
  </si>
  <si>
    <t xml:space="preserve">Mock3 runs on SS4 client 100 on FPS02 (19 Oct - 6 Nov); SS4 moves to SPS06 on 14 Nov and production on 21 Nov. Is any Syniti-side change needed?</t>
  </si>
  <si>
    <t xml:space="preserve">SY-2</t>
  </si>
  <si>
    <t xml:space="preserve">Are the Syniti SAP-side components (RFC function modules or transports) compatible with SAP S/4HANA 2023 SPS06? Is a new version needed?</t>
  </si>
  <si>
    <t xml:space="preserve">SY-3</t>
  </si>
  <si>
    <t xml:space="preserve">Which load methods are used per object (BAPI, IDoc, Migration Cockpit staging, custom)? Which objects should be revalidated on SPS06?</t>
  </si>
  <si>
    <t xml:space="preserve">SY-4</t>
  </si>
  <si>
    <t xml:space="preserve">If the Migration Cockpit is used: do migration objects need an update after the stack change before cutover loads?</t>
  </si>
  <si>
    <t xml:space="preserve">SY-5</t>
  </si>
  <si>
    <t xml:space="preserve">Can Syniti run sample loads on QS4 client 100 (SPS06) on 9-11 Nov to prove cutover readiness?</t>
  </si>
  <si>
    <t xml:space="preserve">SY-6</t>
  </si>
  <si>
    <t xml:space="preserve">Confirm Syniti will not connect to copied systems (Sandbox XS4, N+1 DS5/QS5).</t>
  </si>
  <si>
    <t xml:space="preserve">E-mail drafts</t>
  </si>
  <si>
    <t xml:space="preserve">Subject: Project NorthStar - SAP S/4HANA 2023 SPS06 update: VIM 23.4 / ADA 23.4 confirmation</t>
  </si>
  <si>
    <t xml:space="preserve">Hello OpenText team,
International Motors (Project NorthStar) is updating SAP S/4HANA 2023 on RISE Private Cloud from FPS02 to SPS06 (Maintenance Plan 1002693650). The stack moves our OpenText components as follows: VIM 23.4 FND and INV SP03 to SP04, O2C and P2P SP01 to SP02; ADA 23.4 stays at initial shipment.
Planned windows: Sandbox 24 Oct, Development 31 Oct, QA 7 Nov, pre-production 14 Nov, production 21 Nov 2026.
Please answer the questions below by Wed 28 Oct 2026; the release confirmation for SPS06 and any required patches or post-update steps matter most.
OT-1. Confirm VIM 23.4 (FND and INV SP04, O2C and P2P SP02, Fiori OTVIMFUI) and ADA 23.4 (initial shipment) are released for SAP S/4HANA 2023 SPS06 (S4CORE 108 SP06, SAP_BASIS / SAP_UI 758 SP06) on RISE Private Cloud.
OT-2. Are there known issues, hotfixes or mandatory patches for these SPs on 2023 SPS06?
OT-3. Which post-update steps are required after the SP move (configuration checks, BC sets, workflow or BRF+ regeneration, Fiori caches and catalogs)?
OT-4. Do the SPs run conversion reports or data changes during import? Are they safe if SUM is restarted?
OT-5. Any version dependency with components outside S/4 (capture, archive server, ArchiveLink)?
OT-6. Which connections must be disabled after a homogeneous system copy (Sandbox and N+1 copies), and how are they re-registered?
OT-7. Recommended regression scope after the SP update, and weekend support for 31 Oct, 7, 14 and 21 Nov.
Thank you,
Girish Ogirala
SAP Basis, International Motors</t>
  </si>
  <si>
    <t xml:space="preserve">Subject: Project NorthStar - SAP S/4HANA 2023 SPS06 update: OneSource confirmation</t>
  </si>
  <si>
    <t xml:space="preserve">Hello Thomson Reuters team,
We are updating SAP S/4HANA 2023 from FPS02 to SPS06. QA (QS4) moves on 7 Nov, pre-production (SS4) on 14 Nov and production on 21 Nov 2026. Your onsite week starting 9 Nov falls in our QA regression (9-12 Nov) on SPS06.
Please answer the questions below by Wed 28 Oct 2026.
TR-1. Confirm the OneSource Indirect Tax integration in use is supported on SAP S/4HANA 2023 SPS06.
TR-2. Is any SAP-side transport or configuration change needed for SPS06?
TR-3. Can the onsite team (w/c 9 Nov) validate tax determination on QS4 client 200 (SPS06) during 9-12 Nov?
TR-4. How should copied systems (Sandbox, N+1) be disconnected from OneSource?
Thank you,
Girish Ogirala</t>
  </si>
  <si>
    <t xml:space="preserve">Subject: Project NorthStar - SAP S/4HANA 2023 SPS06 update: SailPoint connector confirmation</t>
  </si>
  <si>
    <t xml:space="preserve">Hello SailPoint team,
We are updating SAP S/4HANA 2023 from FPS02 to SPS06 (SAP_BASIS 758 SP06; GRC AC 12.0 SP32). Windows: Development 31 Oct, QA 7 Nov, pre-production 14 Nov, production 21 Nov 2026.
Please answer the questions below by Wed 28 Oct 2026.
SP-1. Confirm the SailPoint SAP connector and SailPoint-delivered SAP transports in use support SAP S/4HANA 2023 SPS06 (SAP_BASIS 758 SP06).
SP-2. Is a new transport version or connector configuration change needed?
SP-3. How should aggregation and provisioning be paused for a system during its upgrade window, and how are failed operations replayed?
SP-4. Recommended regression tests (aggregation, create, modify, lock, unlock, role assignment, password reset), and any dependency on GRC AC 12.0 SP32.
SP-5. Confirm copied systems will not be aggregated unless defined as new applications.
Thank you,
Girish Ogirala</t>
  </si>
  <si>
    <t xml:space="preserve">Subject: Project NorthStar - SAP S/4HANA 2023 SPS06 update: impact on Mock3 and cutover loads</t>
  </si>
  <si>
    <t xml:space="preserve">Hello Syniti team,
Mock Load 3 starts 19 Oct on SS4 client 100 and runs on FPS02 until 6 Nov. SS4 moves to SPS06 on 14 Nov and production on 21 Nov, so cutover loads (from 7 Dec) will run on SPS06.
Please answer the questions below by Wed 28 Oct 2026.
SY-1. Mock3 runs on SS4 client 100 on FPS02 (19 Oct - 6 Nov); SS4 moves to SPS06 on 14 Nov and production on 21 Nov. Is any Syniti-side change needed?
SY-2. Are the Syniti SAP-side components (RFC function modules or transports) compatible with SAP S/4HANA 2023 SPS06? Is a new version needed?
SY-3. Which load methods are used per object (BAPI, IDoc, Migration Cockpit staging, custom)? Which objects should be revalidated on SPS06?
SY-4. If the Migration Cockpit is used: do migration objects need an update after the stack change before cutover loads?
SY-5. Can Syniti run sample loads on QS4 client 100 (SPS06) on 9-11 Nov to prove cutover readiness?
SY-6. Confirm Syniti will not connect to copied systems (Sandbox XS4, N+1 DS5/QS5).
Thank you,
Girish Ogirala</t>
  </si>
  <si>
    <t xml:space="preserve">Transport windows and rules</t>
  </si>
  <si>
    <t xml:space="preserve">Which transports may move while the landscape is on mixed levels.</t>
  </si>
  <si>
    <t xml:space="preserve">Dates</t>
  </si>
  <si>
    <t xml:space="preserve">System levels</t>
  </si>
  <si>
    <t xml:space="preserve">Rule</t>
  </si>
  <si>
    <t xml:space="preserve">A</t>
  </si>
  <si>
    <t xml:space="preserve">until Thu 29 Oct</t>
  </si>
  <si>
    <t xml:space="preserve">All systems FPS02</t>
  </si>
  <si>
    <t xml:space="preserve">Normal DS4 &gt; QS4 &gt; SS4 (&gt; PS4). DS5 exists from 28 Oct but is not used yet.</t>
  </si>
  <si>
    <t xml:space="preserve">B</t>
  </si>
  <si>
    <t xml:space="preserve">Fri 30 Oct - Sun 8 Nov</t>
  </si>
  <si>
    <t xml:space="preserve">DS4 SPS06 (locked from 30 Oct); QS4, SS4, PS4 FPS02</t>
  </si>
  <si>
    <t xml:space="preserve">SIT2 week-6 and Mock3 fixes built in DS5 &gt; QS4 / SS4 (FPS02 to FPS02) and re-applied in DS4. DS4 &gt; QS4 imports held. QS4 imports end Thu 5 Nov.</t>
  </si>
  <si>
    <t xml:space="preserve">C</t>
  </si>
  <si>
    <t xml:space="preserve">Mon 9 - Sun 15 Nov</t>
  </si>
  <si>
    <t xml:space="preserve">DS4, QS4 SPS06; SS4, PS4 FPS02</t>
  </si>
  <si>
    <t xml:space="preserve">DS4 &gt; QS4 normal (both SPS06). UAT week-1 fixes for SS4 from DS5, re-applied in DS4. SS4 imports end Thu 12 Nov. PS4 held.</t>
  </si>
  <si>
    <t xml:space="preserve">D</t>
  </si>
  <si>
    <t xml:space="preserve">Mon 16 - Sun 22 Nov</t>
  </si>
  <si>
    <t xml:space="preserve">DS4, QS4, SS4 SPS06; PS4 FPS02 until 21 Nov</t>
  </si>
  <si>
    <t xml:space="preserve">Normal DS4 &gt; QS4 &gt; SS4. PS4 queue held until PS4 post-processing. DS5 frozen (Plan C only).</t>
  </si>
  <si>
    <t xml:space="preserve">E</t>
  </si>
  <si>
    <t xml:space="preserve">from Mon 23 Nov</t>
  </si>
  <si>
    <t xml:space="preserve">Go-live line SPS06; DS5/QS5 FPS02 until 1 / 3 Dec</t>
  </si>
  <si>
    <t xml:space="preserve">Normal flow to PS4. DS5/QS5 receive nothing until upgraded, then retrofit per N+1 design.</t>
  </si>
  <si>
    <t xml:space="preserve">Rules</t>
  </si>
  <si>
    <t xml:space="preserve">1. Transport only between systems on the same level; never from SPS06 into an FPS02 system (UG 3.1: transports between systems with different software levels may cause errors and inconsistencies).</t>
  </si>
  <si>
    <t xml:space="preserve">2. Dual maintenance (UG 3.1): a fix made in DS5 for an FPS02 system is re-applied in DS4; the retrofit log is reconciled daily (task 2.10).</t>
  </si>
  <si>
    <t xml:space="preserve">3. SUM reuses the DS4 SPDD and SPAU transports in QS4, SS4, PS4, DS5 and QS5 (phase ADJUSTPRP, UG 3.5). Keep the same target stack everywhere.</t>
  </si>
  <si>
    <t xml:space="preserve">4. Imports into a system stop when its SUM uptime starts (repository locked); schedule the last import the day before.</t>
  </si>
  <si>
    <t xml:space="preserve">5. Copies (XS4, DS5, QS5) never send data to connected systems unless a connection is deliberately rebuilt for testing.</t>
  </si>
  <si>
    <t xml:space="preserve">How SAP ECS, MaxAttention and the BTP team support the upgrade</t>
  </si>
  <si>
    <t xml:space="preserve">Relationship owner for all SAP teams: Girish Ogirala (INTL Basis).</t>
  </si>
  <si>
    <t xml:space="preserve">SAP team</t>
  </si>
  <si>
    <t xml:space="preserve">Role in this upgrade</t>
  </si>
  <si>
    <t xml:space="preserve">Tasks</t>
  </si>
  <si>
    <t xml:space="preserve">How engaged</t>
  </si>
  <si>
    <t xml:space="preserve">When</t>
  </si>
  <si>
    <t xml:space="preserve">Runs the technical work on request (SRs)</t>
  </si>
  <si>
    <t xml:space="preserve">System copies DS4&gt;XS4, DS4&gt;DS5, QS4&gt;QS5; SUM runs on XS4, DS4, QS4, SS4, PS4, DS5, QS5; HANA/kernel per MP; backups; technical FES upgrade; SDMI users if requested; hands the SR back at SPDD and for ramp-down</t>
  </si>
  <si>
    <t xml:space="preserve">SRs in SAP for Me; TSM for scheduling</t>
  </si>
  <si>
    <t xml:space="preserve">Windows confirmed by Fri 23 Oct; copies and SUM per SR Tracker</t>
  </si>
  <si>
    <t xml:space="preserve">Safeguards the plan and escalates</t>
  </si>
  <si>
    <t xml:space="preserve">Review plan v4 and the runbook; review SI-check results and the side-effect note bundle; named weekend contacts; escalation of SR delays and incidents; performance comparison FPS02 vs SPS06 on SS4; PS4 window support</t>
  </si>
  <si>
    <t xml:space="preserve">Engagement architect / TQM; incident escalation</t>
  </si>
  <si>
    <t xml:space="preserve">Review by G0 (22 Oct); on call 24 Oct - 22 Nov</t>
  </si>
  <si>
    <t xml:space="preserve">SAP BTP team</t>
  </si>
  <si>
    <t xml:space="preserve">Keeps BTP services aligned with each S/4 window</t>
  </si>
  <si>
    <t xml:space="preserve">Confirm no AFC, MBC, DRC or Work Zone action is needed for the stack; tenant maintenance dates vs windows; Cloud Connector and destinations; guidance to keep copies disconnected; DRC submission checks</t>
  </si>
  <si>
    <t xml:space="preserve">BTP account team; BTP incidents</t>
  </si>
  <si>
    <t xml:space="preserve">Checklist by G0; support on each Sunday check (1, 8, 15, 22 Nov)</t>
  </si>
  <si>
    <t xml:space="preserve">SAP Support (incidents)</t>
  </si>
  <si>
    <t xml:space="preserve">Product incidents during the upgrade</t>
  </si>
  <si>
    <t xml:space="preserve">Incidents for SUM, application and note issues; priority per business impact; INTL Basis raises and tracks</t>
  </si>
  <si>
    <t xml:space="preserve">SAP for Me incidents (INTL Basis)</t>
  </si>
  <si>
    <t xml:space="preserve">As needed</t>
  </si>
  <si>
    <t xml:space="preserve">Upgrade Guide (UPGR_PE2023 v6.0) - every recommendation mapped</t>
  </si>
  <si>
    <t xml:space="preserve">BPMN node = number in the NorthStar process diagram.</t>
  </si>
  <si>
    <t xml:space="preserve">#</t>
  </si>
  <si>
    <t xml:space="preserve">Guide section</t>
  </si>
  <si>
    <t xml:space="preserve">Recommendation (UPGR_PE2023 v6.0)</t>
  </si>
  <si>
    <t xml:space="preserve">NorthStar action</t>
  </si>
  <si>
    <t xml:space="preserve">Task(s)</t>
  </si>
  <si>
    <t xml:space="preserve">UG-01</t>
  </si>
  <si>
    <t xml:space="preserve">Use the required documents: Simplification Item Catalog, SUM 2.0 guide, Maintenance Planner guide, and Notes 3307222, 3351047, 3348949, 2214409, 3279787, 2399707, 2502552, 3340515, 3340526, 3306766, 3336823, 2217489, 3346290, 3247591</t>
  </si>
  <si>
    <t xml:space="preserve">Reference list in this workbook; 2399707/2502552 implemented first</t>
  </si>
  <si>
    <t xml:space="preserve">UG-02</t>
  </si>
  <si>
    <t xml:space="preserve">SAP Readiness Check is relevant for release upgrades, not for FPS/SPS updates</t>
  </si>
  <si>
    <t xml:space="preserve">Not required (FPS02 &gt; SPS06 is an SPS update); SI-check and side-effect report used</t>
  </si>
  <si>
    <t xml:space="preserve">UG-03</t>
  </si>
  <si>
    <t xml:space="preserve">Technical notes via ECS (BASIC_1.5.04); application notes by customer or billable CAS (BASIC_1.5.03); a shared transport must be imported before the next system is upgraded</t>
  </si>
  <si>
    <t xml:space="preserve">Note transports from DS4; imported before each SUM</t>
  </si>
  <si>
    <t xml:space="preserve">0.02, 2.08</t>
  </si>
  <si>
    <t xml:space="preserve">5, C8</t>
  </si>
  <si>
    <t xml:space="preserve">UG-04</t>
  </si>
  <si>
    <t xml:space="preserve">Follow the sequence Plan &gt; Prepare &gt; Realize &gt; Follow-up</t>
  </si>
  <si>
    <t xml:space="preserve">Phases P0-P7 and BPMN flow</t>
  </si>
  <si>
    <t xml:space="preserve">all</t>
  </si>
  <si>
    <t xml:space="preserve">UG-05</t>
  </si>
  <si>
    <t xml:space="preserve">Update in transport order (Dev &gt; QA &gt; Prod) with the same software packages</t>
  </si>
  <si>
    <t xml:space="preserve">XS4 &gt; DS4 &gt; QS4 &gt; SS4 &gt; PS4, one target stack</t>
  </si>
  <si>
    <t xml:space="preserve">10-22</t>
  </si>
  <si>
    <t xml:space="preserve">UG-06</t>
  </si>
  <si>
    <t xml:space="preserve">Transport only between systems on the same level</t>
  </si>
  <si>
    <t xml:space="preserve">Transport windows A-E</t>
  </si>
  <si>
    <t xml:space="preserve">UG-07</t>
  </si>
  <si>
    <t xml:space="preserve">Keep the development system; do not copy production to development</t>
  </si>
  <si>
    <t xml:space="preserve">DS4 is upgraded in place; copies only go DS4 &gt; XS4/DS5 and QS4 &gt; QS5</t>
  </si>
  <si>
    <t xml:space="preserve">1.01, 2.01, 3.01</t>
  </si>
  <si>
    <t xml:space="preserve">10, 13, 16</t>
  </si>
  <si>
    <t xml:space="preserve">UG-08</t>
  </si>
  <si>
    <t xml:space="preserve">Plan for the development freeze (dev lock) and inform developers</t>
  </si>
  <si>
    <t xml:space="preserve">DS4 lock from Fri 30 Oct; cut-off 30 Oct 12:00 CT</t>
  </si>
  <si>
    <t xml:space="preserve">2.03, 2.04</t>
  </si>
  <si>
    <t xml:space="preserve">C3</t>
  </si>
  <si>
    <t xml:space="preserve">UG-09</t>
  </si>
  <si>
    <t xml:space="preserve">Add a temporary Dev (and QA) copy for emergency fixes; dual maintenance with notification</t>
  </si>
  <si>
    <t xml:space="preserve">DS5 and QS5 copies; dual-maintenance rule and retrofit log</t>
  </si>
  <si>
    <t xml:space="preserve">2.01, 3.01, 2.10</t>
  </si>
  <si>
    <t xml:space="preserve">13, 15, 16</t>
  </si>
  <si>
    <t xml:space="preserve">UG-10</t>
  </si>
  <si>
    <t xml:space="preserve">Check SAP GUI compatibility before downtime (Notes 147519, 26417, 178788)</t>
  </si>
  <si>
    <t xml:space="preserve">GUI check</t>
  </si>
  <si>
    <t xml:space="preserve">UG-11</t>
  </si>
  <si>
    <t xml:space="preserve">FES technical upgrade by ECS; check Note 2217489; run the Fiori Upgrade Impact Analysis</t>
  </si>
  <si>
    <t xml:space="preserve">MP shows Fiori UI FPS03 and FES 2023 SP02; impact analysis</t>
  </si>
  <si>
    <t xml:space="preserve">6, C7</t>
  </si>
  <si>
    <t xml:space="preserve">UG-12</t>
  </si>
  <si>
    <t xml:space="preserve">Identify relevant simplification items early</t>
  </si>
  <si>
    <t xml:space="preserve">SI-check in DS4 and QS4 week of 19 Oct</t>
  </si>
  <si>
    <t xml:space="preserve">UG-13</t>
  </si>
  <si>
    <t xml:space="preserve">Translations changed in SE63 are lost (Note 485741)</t>
  </si>
  <si>
    <t xml:space="preserve">Check for SAP text changes in DS4</t>
  </si>
  <si>
    <t xml:space="preserve">UG-14</t>
  </si>
  <si>
    <t xml:space="preserve">Adjust SPDD/SPAU first, then SPAU_ENH</t>
  </si>
  <si>
    <t xml:space="preserve">Sequence in XS4 and DS4</t>
  </si>
  <si>
    <t xml:space="preserve">1.05, 2.05</t>
  </si>
  <si>
    <t xml:space="preserve">C5, C8</t>
  </si>
  <si>
    <t xml:space="preserve">UG-15</t>
  </si>
  <si>
    <t xml:space="preserve">A Z* package must exist before the update</t>
  </si>
  <si>
    <t xml:space="preserve">Confirmed in DS4</t>
  </si>
  <si>
    <t xml:space="preserve">UG-16</t>
  </si>
  <si>
    <t xml:space="preserve">Passive deletion of objects from manual note corrections (Note 2513585)</t>
  </si>
  <si>
    <t xml:space="preserve">Objects listed and rescued in SPDD</t>
  </si>
  <si>
    <t xml:space="preserve">5, C5</t>
  </si>
  <si>
    <t xml:space="preserve">UG-17</t>
  </si>
  <si>
    <t xml:space="preserve">ECS hands the SR back at SPDD; return it with the transport number (or buy TO_NWABAP_1.5.08)</t>
  </si>
  <si>
    <t xml:space="preserve">SPDD transport into the DS4 SR; decision D-O5</t>
  </si>
  <si>
    <t xml:space="preserve">C5</t>
  </si>
  <si>
    <t xml:space="preserve">UG-18</t>
  </si>
  <si>
    <t xml:space="preserve">Adjust in the first system; reuse SPDD and SPAU transports in later systems (ADJUSTPRP) with the same SP levels</t>
  </si>
  <si>
    <t xml:space="preserve">DS4 transports reused in QS4, SS4, PS4, DS5, QS5</t>
  </si>
  <si>
    <t xml:space="preserve">2.05, 3.05</t>
  </si>
  <si>
    <t xml:space="preserve">UG-19</t>
  </si>
  <si>
    <t xml:space="preserve">Respect SP equivalence between source and target (Notes 2457423, 3307222)</t>
  </si>
  <si>
    <t xml:space="preserve">Same release; MP validated the path</t>
  </si>
  <si>
    <t xml:space="preserve">UG-20</t>
  </si>
  <si>
    <t xml:space="preserve">Create an MPID and attach it to the SR</t>
  </si>
  <si>
    <t xml:space="preserve">MPID per system</t>
  </si>
  <si>
    <t xml:space="preserve">UG-21</t>
  </si>
  <si>
    <t xml:space="preserve">Business functions always_on / always_off (Notes 2240359, 2240360)</t>
  </si>
  <si>
    <t xml:space="preserve">Checked by MP for XS4; repeat per system</t>
  </si>
  <si>
    <t xml:space="preserve">UG-22</t>
  </si>
  <si>
    <t xml:space="preserve">Third-party add-ons: confirm with the vendor (Note 2861669); uninstall via BASIC 1.5.13A if needed (Note 2011192)</t>
  </si>
  <si>
    <t xml:space="preserve">Vendor e-mails and questions</t>
  </si>
  <si>
    <t xml:space="preserve">UG-23</t>
  </si>
  <si>
    <t xml:space="preserve">System requirements (PAM); OS and HANA updates by separate SRs with separate downtime</t>
  </si>
  <si>
    <t xml:space="preserve">Ask ECS about HANA 89.5 and kernel 916</t>
  </si>
  <si>
    <t xml:space="preserve">9</t>
  </si>
  <si>
    <t xml:space="preserve">UG-24</t>
  </si>
  <si>
    <t xml:space="preserve">SI-check: Notes 2399707 and 2502552 (TCI, Note 2187425); run /SDF/RC_START_CHECK early; fix RC 8/12; exempt RC 7</t>
  </si>
  <si>
    <t xml:space="preserve">DS4, QS4, XS4 before each SUM; version check 48 h before</t>
  </si>
  <si>
    <t xml:space="preserve">0.02, 0.03, 1.03</t>
  </si>
  <si>
    <t xml:space="preserve">1, C2, C4</t>
  </si>
  <si>
    <t xml:space="preserve">UG-25</t>
  </si>
  <si>
    <t xml:space="preserve">Custom code check with ATC or Custom Code Migration app; Simplification DB (Note 2241080); notes from 2436688; baseline</t>
  </si>
  <si>
    <t xml:space="preserve">ATC in DS4 and XS4</t>
  </si>
  <si>
    <t xml:space="preserve">0.14, 2.08</t>
  </si>
  <si>
    <t xml:space="preserve">UG-26</t>
  </si>
  <si>
    <t xml:space="preserve">Java instances are the customer's responsibility (Note 2251604)</t>
  </si>
  <si>
    <t xml:space="preserve">Confirm no separate Java instance (e.g. ADS)</t>
  </si>
  <si>
    <t xml:space="preserve">UG-27</t>
  </si>
  <si>
    <t xml:space="preserve">ODP jobs ODQ_CLEANUP / ODQ_DAEMON (Note 2677355)</t>
  </si>
  <si>
    <t xml:space="preserve">Variant check</t>
  </si>
  <si>
    <t xml:space="preserve">UG-28</t>
  </si>
  <si>
    <t xml:space="preserve">Data Transition Validation (Note 3117879), optional</t>
  </si>
  <si>
    <t xml:space="preserve">Decision D-O3</t>
  </si>
  <si>
    <t xml:space="preserve">C13</t>
  </si>
  <si>
    <t xml:space="preserve">UG-29</t>
  </si>
  <si>
    <t xml:space="preserve">ECS triggers SUM 24 h before the start time; request earlier uptime in the SR</t>
  </si>
  <si>
    <t xml:space="preserve">Uptime start written into each SR</t>
  </si>
  <si>
    <t xml:space="preserve">C1, C3</t>
  </si>
  <si>
    <t xml:space="preserve">UG-30</t>
  </si>
  <si>
    <t xml:space="preserve">Breakpoints: SPDD, dev lock, SI-checks</t>
  </si>
  <si>
    <t xml:space="preserve">Named owners per weekend</t>
  </si>
  <si>
    <t xml:space="preserve">C4, C5</t>
  </si>
  <si>
    <t xml:space="preserve">UG-31</t>
  </si>
  <si>
    <t xml:space="preserve">Ramp-down before downtime: stop jobs, lock users, clear queues and update errors</t>
  </si>
  <si>
    <t xml:space="preserve">Ramp-down tasks per system</t>
  </si>
  <si>
    <t xml:space="preserve">3.04, 4.02</t>
  </si>
  <si>
    <t xml:space="preserve">C6</t>
  </si>
  <si>
    <t xml:space="preserve">UG-32</t>
  </si>
  <si>
    <t xml:space="preserve">SDMI: SDM_USER before, SDM_MON after; all SDMIs finished in all clients; downtime option must be in the SR</t>
  </si>
  <si>
    <t xml:space="preserve">SDMI users; completion check; decision D-O1</t>
  </si>
  <si>
    <t xml:space="preserve">0.15, 7.03</t>
  </si>
  <si>
    <t xml:space="preserve">7, C9</t>
  </si>
  <si>
    <t xml:space="preserve">UG-33</t>
  </si>
  <si>
    <t xml:space="preserve">Obsolete data handling with SODH (Note 3335020) after validation</t>
  </si>
  <si>
    <t xml:space="preserve">After hypercare</t>
  </si>
  <si>
    <t xml:space="preserve">UG-34</t>
  </si>
  <si>
    <t xml:space="preserve">Fiori follow-ups: Notes 3336823, 2902673; /UI2/GET_APP_DESCR_REMOTE_ALL (BEC); cache invalidation; SICF /sap/public/bc/its; RS_ICF_SERV_MASS_PROCESSING; performance Note 2916959</t>
  </si>
  <si>
    <t xml:space="preserve">Every system after SUM</t>
  </si>
  <si>
    <t xml:space="preserve">1.07, 2.06, 3.06</t>
  </si>
  <si>
    <t xml:space="preserve">C10</t>
  </si>
  <si>
    <t xml:space="preserve">UG-35</t>
  </si>
  <si>
    <t xml:space="preserve">SU25 steps 2a/2b, SU24, PFCG roles (Notes 1539556, 440231)</t>
  </si>
  <si>
    <t xml:space="preserve">Every system; role transports from DS4</t>
  </si>
  <si>
    <t xml:space="preserve">1.08, 2.07</t>
  </si>
  <si>
    <t xml:space="preserve">C11</t>
  </si>
  <si>
    <t xml:space="preserve">UG-36</t>
  </si>
  <si>
    <t xml:space="preserve">Advanced Variant Configuration: Note 2987015 if used</t>
  </si>
  <si>
    <t xml:space="preserve">Confirm whether AVC is used</t>
  </si>
  <si>
    <t xml:space="preserve">C8</t>
  </si>
  <si>
    <t xml:space="preserve">UG-37</t>
  </si>
  <si>
    <t xml:space="preserve">6.6</t>
  </si>
  <si>
    <t xml:space="preserve">PP/DS report only when coming from 2021 or lower</t>
  </si>
  <si>
    <t xml:space="preserve">Not applicable (2023 &gt; 2023)</t>
  </si>
  <si>
    <t xml:space="preserve">UG-38</t>
  </si>
  <si>
    <t xml:space="preserve">6.7</t>
  </si>
  <si>
    <t xml:space="preserve">FS-PM follow-ups</t>
  </si>
  <si>
    <t xml:space="preserve">Not applicable</t>
  </si>
  <si>
    <t xml:space="preserve">UG-39</t>
  </si>
  <si>
    <t xml:space="preserve">Readiness Check is a planning tool; SI-check is mandatory and called by SUM</t>
  </si>
  <si>
    <t xml:space="preserve">SI-check is the control point</t>
  </si>
  <si>
    <t xml:space="preserve">UG-40</t>
  </si>
  <si>
    <t xml:space="preserve">Additional notes: 2344014 (SPAU), 2836302 (TCI/digitally signed notes), 2351294 (downtime reduction), 2781530, 2834255</t>
  </si>
  <si>
    <t xml:space="preserve">Reviewed by PwC Technical with the SPAU plan</t>
  </si>
  <si>
    <t xml:space="preserve">RACI</t>
  </si>
  <si>
    <t xml:space="preserve">R = Responsible, A = Accountable, C = Consulted, I = Informed. INTL Basis = Girish Ogirala (lead) + 1 onsite + 2 offshore.</t>
  </si>
  <si>
    <t xml:space="preserve">Activity</t>
  </si>
  <si>
    <t xml:space="preserve">INTL PO / IT</t>
  </si>
  <si>
    <t xml:space="preserve">Vendors</t>
  </si>
  <si>
    <t xml:space="preserve">Service requests, ECS scheduling, incidents</t>
  </si>
  <si>
    <t xml:space="preserve">R</t>
  </si>
  <si>
    <t xml:space="preserve">I</t>
  </si>
  <si>
    <t xml:space="preserve">A/R</t>
  </si>
  <si>
    <t xml:space="preserve">System copies and isolation</t>
  </si>
  <si>
    <t xml:space="preserve">SUM runs, HANA, kernel</t>
  </si>
  <si>
    <t xml:space="preserve">SI-check and note 2502552</t>
  </si>
  <si>
    <t xml:space="preserve">SPDD, SPAU, note bundle, ATC</t>
  </si>
  <si>
    <t xml:space="preserve">SU25, roles, GRC, SailPoint</t>
  </si>
  <si>
    <t xml:space="preserve">Fiori, Work Zone, GUI</t>
  </si>
  <si>
    <t xml:space="preserve">CFIN/SLT, GTS, BTP integrations</t>
  </si>
  <si>
    <t xml:space="preserve">Partner add-ons (OpenText, TR, SailPoint, Syniti)</t>
  </si>
  <si>
    <t xml:space="preserve">Sandbox and QS4 regression</t>
  </si>
  <si>
    <t xml:space="preserve">UAT on SPS06 (SS4)</t>
  </si>
  <si>
    <t xml:space="preserve">Data migration on SPS06 (Syniti)</t>
  </si>
  <si>
    <t xml:space="preserve">Transport windows and dual maintenance</t>
  </si>
  <si>
    <t xml:space="preserve">Gates and steering decisions</t>
  </si>
  <si>
    <t xml:space="preserve">Project calendar (Plan on a Page, updated 9/21)</t>
  </si>
  <si>
    <t xml:space="preserve">Context only: dates owned by the NorthStar PMO.</t>
  </si>
  <si>
    <t xml:space="preserve">Event</t>
  </si>
  <si>
    <t xml:space="preserve">System / client</t>
  </si>
  <si>
    <t xml:space="preserve">Note</t>
  </si>
  <si>
    <t xml:space="preserve">SIT1</t>
  </si>
  <si>
    <t xml:space="preserve">Complete per Plan on a Page</t>
  </si>
  <si>
    <t xml:space="preserve">Mock Load 2</t>
  </si>
  <si>
    <t xml:space="preserve">Master data, then transactional data</t>
  </si>
  <si>
    <t xml:space="preserve">Started 28 Sep as planned</t>
  </si>
  <si>
    <t xml:space="preserve">Performance testing</t>
  </si>
  <si>
    <t xml:space="preserve">On FPS02</t>
  </si>
  <si>
    <t xml:space="preserve">Mock Load 3</t>
  </si>
  <si>
    <t xml:space="preserve">UAT</t>
  </si>
  <si>
    <t xml:space="preserve">Week 1 on FPS02, weeks 2-4 on SPS06</t>
  </si>
  <si>
    <t xml:space="preserve">Go / No-Go</t>
  </si>
  <si>
    <t xml:space="preserve">At UAT end</t>
  </si>
  <si>
    <t xml:space="preserve">Cutover</t>
  </si>
  <si>
    <t xml:space="preserve">On SPS06</t>
  </si>
  <si>
    <t xml:space="preserve">TR onsite (OneSource)</t>
  </si>
  <si>
    <t xml:space="preserve">Validates OneSource on QS4 SPS06</t>
  </si>
  <si>
    <t xml:space="preserve">Stream test focus for the SPS06 re-run</t>
  </si>
  <si>
    <t xml:space="preserve">Note numbers are from the side-effect report for MP 1002693650 (SER).</t>
  </si>
  <si>
    <t xml:space="preserve">Stream</t>
  </si>
  <si>
    <t xml:space="preserve">What to re-run</t>
  </si>
  <si>
    <t xml:space="preserve">SER notes to watch</t>
  </si>
  <si>
    <t xml:space="preserve">STP / Ariba (PwC)</t>
  </si>
  <si>
    <t xml:space="preserve">PR -&gt; PO -&gt; Ariba Network via CIG add-on (ARBCI1 SP27), order confirmation, ASN, invoice; Manage Purchase Contracts; Taulia (TAUCI1) if used</t>
  </si>
  <si>
    <t xml:space="preserve">3727222, 3728027, 3563636, 3542666</t>
  </si>
  <si>
    <t xml:space="preserve">OTC (PwC)</t>
  </si>
  <si>
    <t xml:space="preserve">Order -&gt; delivery -&gt; billing, pricing, credit memo tax with OneSource, BP sync</t>
  </si>
  <si>
    <t xml:space="preserve">3678075, 3666390, 3759214</t>
  </si>
  <si>
    <t xml:space="preserve">RTR (PwC)</t>
  </si>
  <si>
    <t xml:space="preserve">GL close, FX valuation, allocations, AA depreciation, Margin Analysis, Material Ledger close</t>
  </si>
  <si>
    <t xml:space="preserve">3757119, 3777415 (HotNews), 3749911, 3751266</t>
  </si>
  <si>
    <t xml:space="preserve">ITD (PwC)</t>
  </si>
  <si>
    <t xml:space="preserve">GR/GI, inventory, deliveries, ML valuation, material master mass changes</t>
  </si>
  <si>
    <t xml:space="preserve">3777415, 3779425, 3528920</t>
  </si>
  <si>
    <t xml:space="preserve">Central Finance (PwC)</t>
  </si>
  <si>
    <t xml:space="preserve">SLT pause/resume, AIF monitor, replication of parked and reversal documents, mapping</t>
  </si>
  <si>
    <t xml:space="preserve">3794020, 3789234, 3793659, 3767655, 3756339</t>
  </si>
  <si>
    <t xml:space="preserve">OpenText VIM (PwC)</t>
  </si>
  <si>
    <t xml:space="preserve">Invoice capture -&gt; DP document -&gt; parking (FBV0) -&gt; workflow approval -&gt; posting; ArchiveLink images</t>
  </si>
  <si>
    <t xml:space="preserve">3680992, 3279714, 3777208</t>
  </si>
  <si>
    <t xml:space="preserve">SAP AFC (PwC)</t>
  </si>
  <si>
    <t xml:space="preserve">AFC (BTP) connection to S/4 via Cloud Connector; scheduled S/4 tasks run from AFC</t>
  </si>
  <si>
    <t xml:space="preserve">Backend prerequisites per AFC documentation</t>
  </si>
  <si>
    <t xml:space="preserve">SAP DRC (PwC)</t>
  </si>
  <si>
    <t xml:space="preserve">Mexico eDocuments just deployed (21 Sep - 3 Oct): CFDI issue, cancel, payment complement; US Sales and Use Tax; CA/US/MX statutory reports</t>
  </si>
  <si>
    <t xml:space="preserve">3830404</t>
  </si>
  <si>
    <t xml:space="preserve">SAP MBC (PwC)</t>
  </si>
  <si>
    <t xml:space="preserve">F110 -&gt; DMEE(X) payment file -&gt; MBC; bank statement import and reprocessing; status messages</t>
  </si>
  <si>
    <t xml:space="preserve">3779613, 3614271, 3735645</t>
  </si>
  <si>
    <t xml:space="preserve">OneSource Indirect Tax (PwC + TR)</t>
  </si>
  <si>
    <t xml:space="preserve">Tax calculation SO/billing/credit memo, PO/MIRO, Mexico VAT cash basis (RFUMSV50); TR onsite w/c 12 Oct (Sandbox/statement) and w/c 9 Nov (UAT on SPS06)</t>
  </si>
  <si>
    <t xml:space="preserve">3678075, 3613556</t>
  </si>
  <si>
    <t xml:space="preserve">Basis / Work Zone (INTL)</t>
  </si>
  <si>
    <t xml:space="preserve">Launchpad and Work Zone content federation, tiles, custom apps, spool, qRFC</t>
  </si>
  <si>
    <t xml:space="preserve">3563542 (HotNews), 3534823, 3795313</t>
  </si>
  <si>
    <t xml:space="preserve">Security / GRC (INTL)</t>
  </si>
  <si>
    <t xml:space="preserve">SU25, SU24, role regression, SUIM, GRC AC 12 add-on</t>
  </si>
  <si>
    <t xml:space="preserve">3809657, 3782096, 3626764, 3590792</t>
  </si>
  <si>
    <t xml:space="preserve">GTS (PwC)</t>
  </si>
  <si>
    <t xml:space="preserve">Compliance screening and legal control on sales and purchasing documents; master data and document transfer to QG4; customs documents in use</t>
  </si>
  <si>
    <t xml:space="preserve">No GTS notes in the SER</t>
  </si>
  <si>
    <t xml:space="preserve">SailPoint (INTL Security)</t>
  </si>
  <si>
    <t xml:space="preserve">Aggregation, create/modify/lock/unlock, role assignment, password reset</t>
  </si>
  <si>
    <t xml:space="preserve">Vendor confirmation (SP-1 to SP-5)</t>
  </si>
  <si>
    <t xml:space="preserve">Data migration / Syniti (PwC)</t>
  </si>
  <si>
    <t xml:space="preserve">Sample loads per object on SPS06 (QS4-100)</t>
  </si>
  <si>
    <t xml:space="preserve">3805046, 3791609, 3789840</t>
  </si>
  <si>
    <t xml:space="preserve">Side-effect notes in scope: 135 notes (146 rows)</t>
  </si>
  <si>
    <t xml:space="preserve">From the SER for MP 1002693650; full triage in SAP_Notes_Side_Effect_Register_SPS06.xlsx.</t>
  </si>
  <si>
    <t xml:space="preserve">Side-effect note</t>
  </si>
  <si>
    <t xml:space="preserve">Priority</t>
  </si>
  <si>
    <t xml:space="preserve">Title</t>
  </si>
  <si>
    <t xml:space="preserve">Component</t>
  </si>
  <si>
    <t xml:space="preserve">Caused by note</t>
  </si>
  <si>
    <t xml:space="preserve">Action</t>
  </si>
  <si>
    <t xml:space="preserve">3563542</t>
  </si>
  <si>
    <t xml:space="preserve">01 HotNews</t>
  </si>
  <si>
    <t xml:space="preserve">RSPO1043 detects false inconsistencies and deletes spool requests</t>
  </si>
  <si>
    <t xml:space="preserve">BC-CCM-PRN</t>
  </si>
  <si>
    <t xml:space="preserve">0002926979</t>
  </si>
  <si>
    <t xml:space="preserve">SNOTE after upgrade (no SP assignment in report - check validity in SAP for Me)</t>
  </si>
  <si>
    <t xml:space="preserve">3777415</t>
  </si>
  <si>
    <t xml:space="preserve">MBEW-KALN1 overwritten by OBEW-KALN1</t>
  </si>
  <si>
    <t xml:space="preserve">CO-PC-ACT</t>
  </si>
  <si>
    <t xml:space="preserve">0003641556</t>
  </si>
  <si>
    <t xml:space="preserve">PwC RTR / ITD</t>
  </si>
  <si>
    <t xml:space="preserve">SNOTE after upgrade (fix ships in S4CORE SP07; target is SP06)</t>
  </si>
  <si>
    <t xml:space="preserve">3279714</t>
  </si>
  <si>
    <t xml:space="preserve">02 High</t>
  </si>
  <si>
    <t xml:space="preserve">Commit Work not triggered by SWZ_AI_CREATE</t>
  </si>
  <si>
    <t xml:space="preserve">BC-BMT-WFM</t>
  </si>
  <si>
    <t xml:space="preserve">0003169078</t>
  </si>
  <si>
    <t xml:space="preserve">PwC STP / VIM</t>
  </si>
  <si>
    <t xml:space="preserve">3528920</t>
  </si>
  <si>
    <t xml:space="preserve">Incorrect function module call due to SAP Note 3505510</t>
  </si>
  <si>
    <t xml:space="preserve">LO-MD-MM</t>
  </si>
  <si>
    <t xml:space="preserve">0003505510</t>
  </si>
  <si>
    <t xml:space="preserve">PwC ITD</t>
  </si>
  <si>
    <t xml:space="preserve">3534823</t>
  </si>
  <si>
    <t xml:space="preserve">ARFC_END_VB is not for update anymore</t>
  </si>
  <si>
    <t xml:space="preserve">BC-MID-RFC-QT</t>
  </si>
  <si>
    <t xml:space="preserve">0003525039</t>
  </si>
  <si>
    <t xml:space="preserve">3542666</t>
  </si>
  <si>
    <t xml:space="preserve">F2229 - Material group missing</t>
  </si>
  <si>
    <t xml:space="preserve">MM-FIO-PUR-REQ-PRF</t>
  </si>
  <si>
    <t xml:space="preserve">0003319706</t>
  </si>
  <si>
    <t xml:space="preserve">PwC STP</t>
  </si>
  <si>
    <t xml:space="preserve">3563636</t>
  </si>
  <si>
    <t xml:space="preserve">[F1048A] Create PO button doesn't launch Create PO application</t>
  </si>
  <si>
    <t xml:space="preserve">MM-FIO-PUR-REQ-SOC</t>
  </si>
  <si>
    <t xml:space="preserve">0003539973</t>
  </si>
  <si>
    <t xml:space="preserve">SNOTE after upgrade (fix ships in UIS4HOP1 SP04; target is SP03)</t>
  </si>
  <si>
    <t xml:space="preserve">3613556</t>
  </si>
  <si>
    <t xml:space="preserve">RFUMSV50: tax transfer posted with FB01 is not updated in DEFTAX_ITEM</t>
  </si>
  <si>
    <t xml:space="preserve">FI-GL-GL-F1</t>
  </si>
  <si>
    <t xml:space="preserve">0003402197</t>
  </si>
  <si>
    <t xml:space="preserve">PwC RTR / OneSource</t>
  </si>
  <si>
    <t xml:space="preserve">3614271</t>
  </si>
  <si>
    <t xml:space="preserve">DMEEX - syntax error in LDMEE1CIT &amp; LDMEE1I18</t>
  </si>
  <si>
    <t xml:space="preserve">CA-GTF-CSC-DME</t>
  </si>
  <si>
    <t xml:space="preserve">0003444594</t>
  </si>
  <si>
    <t xml:space="preserve">PwC STP / MBC</t>
  </si>
  <si>
    <t xml:space="preserve">3662731</t>
  </si>
  <si>
    <t xml:space="preserve">No temporary profitability segments in release S/4 HANA 1709</t>
  </si>
  <si>
    <t xml:space="preserve">CO-PA</t>
  </si>
  <si>
    <t xml:space="preserve">0003589823</t>
  </si>
  <si>
    <t xml:space="preserve">PwC RTR</t>
  </si>
  <si>
    <t xml:space="preserve">3666390</t>
  </si>
  <si>
    <t xml:space="preserve">Updates to Address Comment (ADRCT-REMARK) are not synchronized between the Business Partner, Supplier, and Customer master when remark is maintained in multiple languages</t>
  </si>
  <si>
    <t xml:space="preserve">LO-MD-BP-VM</t>
  </si>
  <si>
    <t xml:space="preserve">0003581401</t>
  </si>
  <si>
    <t xml:space="preserve">PwC OTC / STP</t>
  </si>
  <si>
    <t xml:space="preserve">3678075</t>
  </si>
  <si>
    <t xml:space="preserve">Incorrect tax rate in credit memos for intercompany billing or currency change</t>
  </si>
  <si>
    <t xml:space="preserve">SD-BIL-IV</t>
  </si>
  <si>
    <t xml:space="preserve">0003526407</t>
  </si>
  <si>
    <t xml:space="preserve">PwC OTC / OneSource</t>
  </si>
  <si>
    <t xml:space="preserve">3680992</t>
  </si>
  <si>
    <t xml:space="preserve">FBV0: Coding contains an invalid function module</t>
  </si>
  <si>
    <t xml:space="preserve">FI-GL-GL-W</t>
  </si>
  <si>
    <t xml:space="preserve">0003612459</t>
  </si>
  <si>
    <t xml:space="preserve">PwC RTR / VIM</t>
  </si>
  <si>
    <t xml:space="preserve">3727222</t>
  </si>
  <si>
    <t xml:space="preserve">MEPO601 error when adding manually new item to PO in ME22N</t>
  </si>
  <si>
    <t xml:space="preserve">MM-PUR-GF-PR</t>
  </si>
  <si>
    <t xml:space="preserve">0003499331</t>
  </si>
  <si>
    <t xml:space="preserve">3728027</t>
  </si>
  <si>
    <t xml:space="preserve">Purchasing organization value is not filled for new partners created in contracts using Manage purchase contracts App</t>
  </si>
  <si>
    <t xml:space="preserve">MM-FIO-PUR-SQ-CON</t>
  </si>
  <si>
    <t xml:space="preserve">0003622239</t>
  </si>
  <si>
    <t xml:space="preserve">3735645</t>
  </si>
  <si>
    <t xml:space="preserve">Kurzzeitfehler ASSERTION_FAILED bei Interpretationsalgorithmus 421</t>
  </si>
  <si>
    <t xml:space="preserve">FI-BL-PT-BA</t>
  </si>
  <si>
    <t xml:space="preserve">0003681665</t>
  </si>
  <si>
    <t xml:space="preserve">PwC RTR / MBC</t>
  </si>
  <si>
    <t xml:space="preserve">3749911</t>
  </si>
  <si>
    <t xml:space="preserve">KE396 in MIR4</t>
  </si>
  <si>
    <t xml:space="preserve">CO-PA-ACT</t>
  </si>
  <si>
    <t xml:space="preserve">3751266</t>
  </si>
  <si>
    <t xml:space="preserve">KEPSL_DOC_POST_EXTERNAL DUMP CONVT_NO_NUMBER due to PLIKZ</t>
  </si>
  <si>
    <t xml:space="preserve">0003483652</t>
  </si>
  <si>
    <t xml:space="preserve">3752228</t>
  </si>
  <si>
    <t xml:space="preserve">Bank details not fully derived from IBAN when posting via accounting interface</t>
  </si>
  <si>
    <t xml:space="preserve">FI-AP-AP-J</t>
  </si>
  <si>
    <t xml:space="preserve">0003715290</t>
  </si>
  <si>
    <t xml:space="preserve">PwC STP / CFIN</t>
  </si>
  <si>
    <t xml:space="preserve">3757119</t>
  </si>
  <si>
    <t xml:space="preserve">FAGL_FCV: Program termination GETWA_NOT_ASSIGNED / Selection list does not contain any data</t>
  </si>
  <si>
    <t xml:space="preserve">FI-GL-GL-G</t>
  </si>
  <si>
    <t xml:space="preserve">0003558927</t>
  </si>
  <si>
    <t xml:space="preserve">3759214</t>
  </si>
  <si>
    <t xml:space="preserve">Classification data not replicated</t>
  </si>
  <si>
    <t xml:space="preserve">LO-MD-BP-WS</t>
  </si>
  <si>
    <t xml:space="preserve">0003561399</t>
  </si>
  <si>
    <t xml:space="preserve">3759621</t>
  </si>
  <si>
    <t xml:space="preserve">ALV HS-Grid: Dump MOVE_CAST_ERROR when right clicking on Hierseq Grid</t>
  </si>
  <si>
    <t xml:space="preserve">BC-SRV-ALV</t>
  </si>
  <si>
    <t xml:space="preserve">0003719981</t>
  </si>
  <si>
    <t xml:space="preserve">SNOTE after upgrade (fix ships in SAPBASIS SP07; target is SP06)</t>
  </si>
  <si>
    <t xml:space="preserve">3767655</t>
  </si>
  <si>
    <t xml:space="preserve">Serialization Web Service Message: Successor message is not executed automatically</t>
  </si>
  <si>
    <t xml:space="preserve">CA-GTF-AIF</t>
  </si>
  <si>
    <t xml:space="preserve">0003751710</t>
  </si>
  <si>
    <t xml:space="preserve">PwC CFIN</t>
  </si>
  <si>
    <t xml:space="preserve">3779425</t>
  </si>
  <si>
    <t xml:space="preserve">UAPI: Wrong field symbol in MRP area update path after note 3621492 causes incorrect data</t>
  </si>
  <si>
    <t xml:space="preserve">0003621492</t>
  </si>
  <si>
    <t xml:space="preserve">3779613</t>
  </si>
  <si>
    <t xml:space="preserve">F110: Extended individual payment fails</t>
  </si>
  <si>
    <t xml:space="preserve">FI-AP-AP-B</t>
  </si>
  <si>
    <t xml:space="preserve">0003631409</t>
  </si>
  <si>
    <t xml:space="preserve">3782369</t>
  </si>
  <si>
    <t xml:space="preserve">TABLE_INVALID_INDEX Runtime Error During Goods Receipt Posting via OData API in Advanced and Multistage Intercompany Process</t>
  </si>
  <si>
    <t xml:space="preserve">LE-SHP-VCA</t>
  </si>
  <si>
    <t xml:space="preserve">0003682577</t>
  </si>
  <si>
    <t xml:space="preserve">PwC ITD / OTC</t>
  </si>
  <si>
    <t xml:space="preserve">3793659</t>
  </si>
  <si>
    <t xml:space="preserve">BAPI: AFLE mapping errors not returned</t>
  </si>
  <si>
    <t xml:space="preserve">AC-INT</t>
  </si>
  <si>
    <t xml:space="preserve">0003613546</t>
  </si>
  <si>
    <t xml:space="preserve">3794020</t>
  </si>
  <si>
    <t xml:space="preserve">Error reading document number during cFIN replication for posting of parked documents with BSTAT 'U'</t>
  </si>
  <si>
    <t xml:space="preserve">FI-GL-GL</t>
  </si>
  <si>
    <t xml:space="preserve">0003596100</t>
  </si>
  <si>
    <t xml:space="preserve">0003607571</t>
  </si>
  <si>
    <t xml:space="preserve">3794043</t>
  </si>
  <si>
    <t xml:space="preserve">Deletion of an attachment that is available from 'Assign Document' not deleted</t>
  </si>
  <si>
    <t xml:space="preserve">CA-DMS</t>
  </si>
  <si>
    <t xml:space="preserve">0003636183</t>
  </si>
  <si>
    <t xml:space="preserve">3806051</t>
  </si>
  <si>
    <t xml:space="preserve">KE545 bei buchungskreisübergreifender Buchung</t>
  </si>
  <si>
    <t xml:space="preserve">0003562180</t>
  </si>
  <si>
    <t xml:space="preserve">3809657</t>
  </si>
  <si>
    <t xml:space="preserve">SU25: Fehlerhafte Ergebnisse in Schritt 2c</t>
  </si>
  <si>
    <t xml:space="preserve">BC-SEC-AUT-TOO</t>
  </si>
  <si>
    <t xml:space="preserve">0003673078</t>
  </si>
  <si>
    <t xml:space="preserve">1001203</t>
  </si>
  <si>
    <t xml:space="preserve">03 Medium</t>
  </si>
  <si>
    <t xml:space="preserve">KEPC: Fehlermeldung KE361</t>
  </si>
  <si>
    <t xml:space="preserve">0003613798</t>
  </si>
  <si>
    <t xml:space="preserve">2525819</t>
  </si>
  <si>
    <t xml:space="preserve">Accounting: Certificate expired for in-place Excel</t>
  </si>
  <si>
    <t xml:space="preserve">FI-SL-IS-A</t>
  </si>
  <si>
    <t xml:space="preserve">0001992004</t>
  </si>
  <si>
    <t xml:space="preserve">3325232</t>
  </si>
  <si>
    <t xml:space="preserve">App Reprocess Bank Statement Items: Notification when more than 150 items are selected</t>
  </si>
  <si>
    <t xml:space="preserve">FI-FIO-AR-PAY</t>
  </si>
  <si>
    <t xml:space="preserve">0003294845</t>
  </si>
  <si>
    <t xml:space="preserve">3501073</t>
  </si>
  <si>
    <t xml:space="preserve">SAPDBBRF: SYNTAX ERROR - The data object "&lt;FIN_GLPOS&gt;" does not...</t>
  </si>
  <si>
    <t xml:space="preserve">FI-GL-GL-D</t>
  </si>
  <si>
    <t xml:space="preserve">0003497745</t>
  </si>
  <si>
    <t xml:space="preserve">3502014</t>
  </si>
  <si>
    <t xml:space="preserve">Syntax error due to inconsistent FIN_S_GLPOS</t>
  </si>
  <si>
    <t xml:space="preserve">3506575</t>
  </si>
  <si>
    <t xml:space="preserve">ALV Grid - Subtotal text not displayed after SAP Note 3503436</t>
  </si>
  <si>
    <t xml:space="preserve">0003503436</t>
  </si>
  <si>
    <t xml:space="preserve">3515210</t>
  </si>
  <si>
    <t xml:space="preserve">Removal of method if_wd_dg_exexp_ext_ctrl~get_content_for_segment</t>
  </si>
  <si>
    <t xml:space="preserve">BW-RUI-FPM</t>
  </si>
  <si>
    <t xml:space="preserve">0003494827</t>
  </si>
  <si>
    <t xml:space="preserve">3525720</t>
  </si>
  <si>
    <t xml:space="preserve">DIMP: Follow up note 3476680</t>
  </si>
  <si>
    <t xml:space="preserve">IS-A</t>
  </si>
  <si>
    <t xml:space="preserve">0003476680</t>
  </si>
  <si>
    <t xml:space="preserve">3540815</t>
  </si>
  <si>
    <t xml:space="preserve">RFAWVZ40N: Follow-up correction for Note 3526044 / Clearing of Customer/Vendor Invoices and Reversals</t>
  </si>
  <si>
    <t xml:space="preserve">0003526044</t>
  </si>
  <si>
    <t xml:space="preserve">3549111</t>
  </si>
  <si>
    <t xml:space="preserve">DIMP: Follow up note 3519923</t>
  </si>
  <si>
    <t xml:space="preserve">IS-ADEC-SUB</t>
  </si>
  <si>
    <t xml:space="preserve">0003519923</t>
  </si>
  <si>
    <t xml:space="preserve">3549715</t>
  </si>
  <si>
    <t xml:space="preserve">App Support: Technical correction of unit test</t>
  </si>
  <si>
    <t xml:space="preserve">CA-FLP-EXT-ASI</t>
  </si>
  <si>
    <t xml:space="preserve">0003530008</t>
  </si>
  <si>
    <t xml:space="preserve">3549845</t>
  </si>
  <si>
    <t xml:space="preserve">Quotation Currency does not get updated immediately</t>
  </si>
  <si>
    <t xml:space="preserve">MM-FIO-PUR-SPQ</t>
  </si>
  <si>
    <t xml:space="preserve">0003547794</t>
  </si>
  <si>
    <t xml:space="preserve">3554417</t>
  </si>
  <si>
    <t xml:space="preserve">Update of ABAP Daemon Configuration does not work correctly</t>
  </si>
  <si>
    <t xml:space="preserve">BC-MID-DMN</t>
  </si>
  <si>
    <t xml:space="preserve">0003505500</t>
  </si>
  <si>
    <t xml:space="preserve">3562966</t>
  </si>
  <si>
    <t xml:space="preserve">Expand Display Hierarchy to level</t>
  </si>
  <si>
    <t xml:space="preserve">0003552872</t>
  </si>
  <si>
    <t xml:space="preserve">3576593</t>
  </si>
  <si>
    <t xml:space="preserve">Runtime error during maintenance of classifications</t>
  </si>
  <si>
    <t xml:space="preserve">CA-CL</t>
  </si>
  <si>
    <t xml:space="preserve">0003358066</t>
  </si>
  <si>
    <t xml:space="preserve">3583023</t>
  </si>
  <si>
    <t xml:space="preserve">Update of delivery date for multiple purchase order items not possible using Joule</t>
  </si>
  <si>
    <t xml:space="preserve">MM-FIO-PUR-PO</t>
  </si>
  <si>
    <t xml:space="preserve">0003527180</t>
  </si>
  <si>
    <t xml:space="preserve">3583927</t>
  </si>
  <si>
    <t xml:space="preserve">In program R_FINS_PLAN_TRANS_CO_ERP_2_S4H you get error "User &amp;2 has an exclusive lock on data slice &amp;1."</t>
  </si>
  <si>
    <t xml:space="preserve">CO-FIO-OM-PL</t>
  </si>
  <si>
    <t xml:space="preserve">0003484101</t>
  </si>
  <si>
    <t xml:space="preserve">3590792</t>
  </si>
  <si>
    <t xml:space="preserve">Ergänzung zum Hinweis 3564568</t>
  </si>
  <si>
    <t xml:space="preserve">BC-SEC-USR-IS</t>
  </si>
  <si>
    <t xml:space="preserve">0003564568</t>
  </si>
  <si>
    <t xml:space="preserve">3595570</t>
  </si>
  <si>
    <t xml:space="preserve">Succession note for Note 3429227</t>
  </si>
  <si>
    <t xml:space="preserve">0003429227</t>
  </si>
  <si>
    <t xml:space="preserve">3614027</t>
  </si>
  <si>
    <t xml:space="preserve">F0711 F0712 Edit Line Items option is not working</t>
  </si>
  <si>
    <t xml:space="preserve">FI-FIO-AP</t>
  </si>
  <si>
    <t xml:space="preserve">0003504850</t>
  </si>
  <si>
    <t xml:space="preserve">PwC OTC</t>
  </si>
  <si>
    <t xml:space="preserve">3621344</t>
  </si>
  <si>
    <t xml:space="preserve">ATC for DDLS I_ALLOCATIONCYCLEUPLOADTP</t>
  </si>
  <si>
    <t xml:space="preserve">FIN-UA</t>
  </si>
  <si>
    <t xml:space="preserve">0003484215</t>
  </si>
  <si>
    <t xml:space="preserve">3626764</t>
  </si>
  <si>
    <t xml:space="preserve">SU01|Copy User: Roles are not copied</t>
  </si>
  <si>
    <t xml:space="preserve">BC-SEC-USR-ADM</t>
  </si>
  <si>
    <t xml:space="preserve">0003527801</t>
  </si>
  <si>
    <t xml:space="preserve">3642725</t>
  </si>
  <si>
    <t xml:space="preserve">INA : Capabilities are not read and hence may face issues regarding these missing capabilities.</t>
  </si>
  <si>
    <t xml:space="preserve">BW-BEX-OT-BICS-INA</t>
  </si>
  <si>
    <t xml:space="preserve">0003521219</t>
  </si>
  <si>
    <t xml:space="preserve">3657542</t>
  </si>
  <si>
    <t xml:space="preserve">Text Table fields are blank in SM30 during print</t>
  </si>
  <si>
    <t xml:space="preserve">BC-CUS-TOL-TME</t>
  </si>
  <si>
    <t xml:space="preserve">0003627579</t>
  </si>
  <si>
    <t xml:space="preserve">3657606</t>
  </si>
  <si>
    <t xml:space="preserve">App Support: Chip ID invalid</t>
  </si>
  <si>
    <t xml:space="preserve">0003649832</t>
  </si>
  <si>
    <t xml:space="preserve">3666391</t>
  </si>
  <si>
    <t xml:space="preserve">Unauthorized address display and runtime error SAPSQL_STMNT_TOO_LARGE in BP transaction</t>
  </si>
  <si>
    <t xml:space="preserve">AP-MD-BP-EMP</t>
  </si>
  <si>
    <t xml:space="preserve">0003632949</t>
  </si>
  <si>
    <t xml:space="preserve">3669526</t>
  </si>
  <si>
    <t xml:space="preserve">ALV: Missing buttons for added functions in SALV table</t>
  </si>
  <si>
    <t xml:space="preserve">0003594156</t>
  </si>
  <si>
    <t xml:space="preserve">3672941</t>
  </si>
  <si>
    <t xml:space="preserve">MMPUR_SPROC/071: Joint Venture Accounting is not supported for Lean Services.</t>
  </si>
  <si>
    <t xml:space="preserve">MM-PUR-PO-SVC</t>
  </si>
  <si>
    <t xml:space="preserve">0003645782</t>
  </si>
  <si>
    <t xml:space="preserve">3674295</t>
  </si>
  <si>
    <t xml:space="preserve">RFAWVZ40: payment/clearing documents not considered correctly</t>
  </si>
  <si>
    <t xml:space="preserve">0003708414</t>
  </si>
  <si>
    <t xml:space="preserve">3689874</t>
  </si>
  <si>
    <t xml:space="preserve">ALLOCATION: Error KC 018</t>
  </si>
  <si>
    <t xml:space="preserve">0003529459</t>
  </si>
  <si>
    <t xml:space="preserve">3691048</t>
  </si>
  <si>
    <t xml:space="preserve">Short text of sender and reciver in Settlement follow-up documents after note 3389744 not always correct</t>
  </si>
  <si>
    <t xml:space="preserve">CO-OM-OPA-F</t>
  </si>
  <si>
    <t xml:space="preserve">0003389744</t>
  </si>
  <si>
    <t xml:space="preserve">3695248</t>
  </si>
  <si>
    <t xml:space="preserve">FAGL_PROT: Message Statistics: Wrong Basis Release</t>
  </si>
  <si>
    <t xml:space="preserve">0003486933</t>
  </si>
  <si>
    <t xml:space="preserve">3717605</t>
  </si>
  <si>
    <t xml:space="preserve">Enhanced Limit in PO/PR: Error Messages MMPUR_SPROC/072 + 073 not Required</t>
  </si>
  <si>
    <t xml:space="preserve">3723716</t>
  </si>
  <si>
    <t xml:space="preserve">Error message FG605 "Program session restart"</t>
  </si>
  <si>
    <t xml:space="preserve">FI-GL-IS</t>
  </si>
  <si>
    <t xml:space="preserve">0003588573</t>
  </si>
  <si>
    <t xml:space="preserve">3730016</t>
  </si>
  <si>
    <t xml:space="preserve">FAGLF101: Issues When Loading Saved Logs</t>
  </si>
  <si>
    <t xml:space="preserve">0003673002</t>
  </si>
  <si>
    <t xml:space="preserve">3737842</t>
  </si>
  <si>
    <t xml:space="preserve">DIMP: Follow up note 3573879</t>
  </si>
  <si>
    <t xml:space="preserve">IS-ADEC-MPN</t>
  </si>
  <si>
    <t xml:space="preserve">0003573879</t>
  </si>
  <si>
    <t xml:space="preserve">3738502</t>
  </si>
  <si>
    <t xml:space="preserve">CKM3N: Display issue in Beginning Inventory and Receipts categories</t>
  </si>
  <si>
    <t xml:space="preserve">0003691615</t>
  </si>
  <si>
    <t xml:space="preserve">0003644834</t>
  </si>
  <si>
    <t xml:space="preserve">3739961</t>
  </si>
  <si>
    <t xml:space="preserve">BICS: Existing Bookmark Cannot Be Loaded Despite Being Present Part-2</t>
  </si>
  <si>
    <t xml:space="preserve">BW-BEX-OT-BICS-PROV</t>
  </si>
  <si>
    <t xml:space="preserve">0003696992</t>
  </si>
  <si>
    <t xml:space="preserve">SNOTE after upgrade (fix ships in SAPBW SP07; target is SP06)</t>
  </si>
  <si>
    <t xml:space="preserve">0003717286</t>
  </si>
  <si>
    <t xml:space="preserve">3740305</t>
  </si>
  <si>
    <t xml:space="preserve">Correction in CL_P_COMPANYCODEDETAILSPA - Field country is only from T001-land1 or T001N-land1</t>
  </si>
  <si>
    <t xml:space="preserve">FI-LOC-GEN</t>
  </si>
  <si>
    <t xml:space="preserve">0003605210</t>
  </si>
  <si>
    <t xml:space="preserve">3745364</t>
  </si>
  <si>
    <t xml:space="preserve">Illegal characters in InputField and InputTokenizer destroy html</t>
  </si>
  <si>
    <t xml:space="preserve">BC-WD-ABA</t>
  </si>
  <si>
    <t xml:space="preserve">0003742755</t>
  </si>
  <si>
    <t xml:space="preserve">SNOTE after upgrade (fix ships in SAPUI SP07; target is SP06)</t>
  </si>
  <si>
    <t xml:space="preserve">3747285</t>
  </si>
  <si>
    <t xml:space="preserve">SD Down Payment with Central Finance: System Dump in Invoice Print Preview</t>
  </si>
  <si>
    <t xml:space="preserve">SD-BIL-IV-DP</t>
  </si>
  <si>
    <t xml:space="preserve">0003594536</t>
  </si>
  <si>
    <t xml:space="preserve">PwC OTC / CFIN</t>
  </si>
  <si>
    <t xml:space="preserve">3747703</t>
  </si>
  <si>
    <t xml:space="preserve">Purchase Contracts: Incorrect navigation to condition maintenance screen</t>
  </si>
  <si>
    <t xml:space="preserve">MM-PUR-OA-CON</t>
  </si>
  <si>
    <t xml:space="preserve">0003620489</t>
  </si>
  <si>
    <t xml:space="preserve">3755725</t>
  </si>
  <si>
    <t xml:space="preserve">No changeover to third phase of depreciation key at the end of useful life</t>
  </si>
  <si>
    <t xml:space="preserve">FI-AA-AA-B</t>
  </si>
  <si>
    <t xml:space="preserve">0003583781</t>
  </si>
  <si>
    <t xml:space="preserve">3755943</t>
  </si>
  <si>
    <t xml:space="preserve">PERFORM_TOO_MANY_PARAMETERS Runtime Error in RCNCC920</t>
  </si>
  <si>
    <t xml:space="preserve">3756339</t>
  </si>
  <si>
    <t xml:space="preserve">Central Finance: Central Market Segment Reporting Service Order Management (FI)</t>
  </si>
  <si>
    <t xml:space="preserve">FI-CF-AC</t>
  </si>
  <si>
    <t xml:space="preserve">0003537332</t>
  </si>
  <si>
    <t xml:space="preserve">3759513</t>
  </si>
  <si>
    <t xml:space="preserve">Parameters missing when navigating with selected hierarchy node</t>
  </si>
  <si>
    <t xml:space="preserve">0003690998</t>
  </si>
  <si>
    <t xml:space="preserve">3760190</t>
  </si>
  <si>
    <t xml:space="preserve">Fehlermeldung FGV 005 (Es wurde keine Geschäftsjahresvariante angegeben) bei Materialbuchung</t>
  </si>
  <si>
    <t xml:space="preserve">0003593304</t>
  </si>
  <si>
    <t xml:space="preserve">3765635</t>
  </si>
  <si>
    <t xml:space="preserve">Real-time Overhead Posting Optimization</t>
  </si>
  <si>
    <t xml:space="preserve">CO-OM-OPA-OH</t>
  </si>
  <si>
    <t xml:space="preserve">0003600765</t>
  </si>
  <si>
    <t xml:space="preserve">3767916</t>
  </si>
  <si>
    <t xml:space="preserve">Error F5336 for MM invoice with retention</t>
  </si>
  <si>
    <t xml:space="preserve">0003528124</t>
  </si>
  <si>
    <t xml:space="preserve">3769687</t>
  </si>
  <si>
    <t xml:space="preserve">Outdated data returned when bypassing buffer for customer-BP assignment read</t>
  </si>
  <si>
    <t xml:space="preserve">LO-MD-BP</t>
  </si>
  <si>
    <t xml:space="preserve">0003717181</t>
  </si>
  <si>
    <t xml:space="preserve">3770121</t>
  </si>
  <si>
    <t xml:space="preserve">Performance issue with filter values in Manage Payments app</t>
  </si>
  <si>
    <t xml:space="preserve">FIN-FSCM-PF</t>
  </si>
  <si>
    <t xml:space="preserve">0003765678</t>
  </si>
  <si>
    <t xml:space="preserve">0003769603</t>
  </si>
  <si>
    <t xml:space="preserve">3771425</t>
  </si>
  <si>
    <t xml:space="preserve">Deferred Tax Transfer: Filling LC Amount and Tax Base Amount When Posting Tax Transfer Document via FB05</t>
  </si>
  <si>
    <t xml:space="preserve">0003686849</t>
  </si>
  <si>
    <t xml:space="preserve">3771443</t>
  </si>
  <si>
    <t xml:space="preserve">RLT not taken into account in sales order for discontinued material</t>
  </si>
  <si>
    <t xml:space="preserve">SD-BF-AC</t>
  </si>
  <si>
    <t xml:space="preserve">0003566330</t>
  </si>
  <si>
    <t xml:space="preserve">3773923</t>
  </si>
  <si>
    <t xml:space="preserve">Report R_FAR_MEMOLINE_HEALTH_CHECK has low performance during processing a large number of records during the "Check &amp; Sync" scenario</t>
  </si>
  <si>
    <t xml:space="preserve">0003722049</t>
  </si>
  <si>
    <t xml:space="preserve">3775172</t>
  </si>
  <si>
    <t xml:space="preserve">BAPI_PO_CHANGE: Item quantity cannot be changed when deletion indicator is set</t>
  </si>
  <si>
    <t xml:space="preserve">MM-PUR-PO-BAPI</t>
  </si>
  <si>
    <t xml:space="preserve">0003569976</t>
  </si>
  <si>
    <t xml:space="preserve">3775293</t>
  </si>
  <si>
    <t xml:space="preserve">Reprocess Bank Statement Items - G/L account is not derived correctly due to an unidentified transaction key on open items</t>
  </si>
  <si>
    <t xml:space="preserve">0003630931</t>
  </si>
  <si>
    <t xml:space="preserve">3775777</t>
  </si>
  <si>
    <t xml:space="preserve">Manage Purchase Contract Partner Deletion issue in draft</t>
  </si>
  <si>
    <t xml:space="preserve">0003500840</t>
  </si>
  <si>
    <t xml:space="preserve">3776134</t>
  </si>
  <si>
    <t xml:space="preserve">ICR: Runtime error TYPELOAD_NEW_VERSION / LOAD_PROGRAM_INTF_MISMATCH</t>
  </si>
  <si>
    <t xml:space="preserve">0003670615</t>
  </si>
  <si>
    <t xml:space="preserve">3776693</t>
  </si>
  <si>
    <t xml:space="preserve">API_PURCHASECONTRACT_PROCESS_SRV Version 2: Purchase Contract header data cleared and empty error details returned in batch changeset</t>
  </si>
  <si>
    <t xml:space="preserve">MM-PUR-OA-API</t>
  </si>
  <si>
    <t xml:space="preserve">0003483918</t>
  </si>
  <si>
    <t xml:space="preserve">3776844</t>
  </si>
  <si>
    <t xml:space="preserve">Unallowed delete statement in accounting interface trace in RAP context</t>
  </si>
  <si>
    <t xml:space="preserve">0003652980</t>
  </si>
  <si>
    <t xml:space="preserve">3777208</t>
  </si>
  <si>
    <t xml:space="preserve">Revertion of SAP note 3762259</t>
  </si>
  <si>
    <t xml:space="preserve">0003762259</t>
  </si>
  <si>
    <t xml:space="preserve">3777911</t>
  </si>
  <si>
    <t xml:space="preserve">wrong ATP result with special stock Q</t>
  </si>
  <si>
    <t xml:space="preserve">0003697546</t>
  </si>
  <si>
    <t xml:space="preserve">3777957</t>
  </si>
  <si>
    <t xml:space="preserve">No auto split when calling BAPIs to create CO document</t>
  </si>
  <si>
    <t xml:space="preserve">CO-OM-CCA-E</t>
  </si>
  <si>
    <t xml:space="preserve">0003482873</t>
  </si>
  <si>
    <t xml:space="preserve">3778390</t>
  </si>
  <si>
    <t xml:space="preserve">Error during split of schedule lines with FCFS using Forecast and Planning Delivery Schedule - Part 2</t>
  </si>
  <si>
    <t xml:space="preserve">SD-SLS</t>
  </si>
  <si>
    <t xml:space="preserve">0003750729</t>
  </si>
  <si>
    <t xml:space="preserve">3779024</t>
  </si>
  <si>
    <t xml:space="preserve">CVP EOP: Process switch DISABLE_PARTIAL_BLOCKING wrongly allow partial blocking of vendor company codes</t>
  </si>
  <si>
    <t xml:space="preserve">LO-MD-BP-DP</t>
  </si>
  <si>
    <t xml:space="preserve">0003528521</t>
  </si>
  <si>
    <t xml:space="preserve">3779671</t>
  </si>
  <si>
    <t xml:space="preserve">FSV: FAGL_FSV_TRANSPORT: Entries Not Written to Transport Request</t>
  </si>
  <si>
    <t xml:space="preserve">0003668493</t>
  </si>
  <si>
    <t xml:space="preserve">3781049</t>
  </si>
  <si>
    <t xml:space="preserve">BICS: Exception while adding Bookmark to transport using report FPM_BICS_TRANSPORT_BOOKMARKS</t>
  </si>
  <si>
    <t xml:space="preserve">3781348</t>
  </si>
  <si>
    <t xml:space="preserve">F2547 - Verify General Journal Entries - Some Journal Entries in status Posted are duplicated</t>
  </si>
  <si>
    <t xml:space="preserve">FI-FIO-GL-IS</t>
  </si>
  <si>
    <t xml:space="preserve">0003549709</t>
  </si>
  <si>
    <t xml:space="preserve">3782096</t>
  </si>
  <si>
    <t xml:space="preserve">SUPC/SU25: Simulation des Abmischvorgangs liefert falsche Ergebnisse</t>
  </si>
  <si>
    <t xml:space="preserve">BC-SEC-AUT-PFC</t>
  </si>
  <si>
    <t xml:space="preserve">3782131</t>
  </si>
  <si>
    <t xml:space="preserve">Manage Prices - Sales app: Key fields not set in the downloaded failed records excel</t>
  </si>
  <si>
    <t xml:space="preserve">SD-MD-CM</t>
  </si>
  <si>
    <t xml:space="preserve">0003669800</t>
  </si>
  <si>
    <t xml:space="preserve">3785315</t>
  </si>
  <si>
    <t xml:space="preserve">KE25 detail screen shows initial values</t>
  </si>
  <si>
    <t xml:space="preserve">CO-PA-IS</t>
  </si>
  <si>
    <t xml:space="preserve">0003572848</t>
  </si>
  <si>
    <t xml:space="preserve">3785382</t>
  </si>
  <si>
    <t xml:space="preserve">List of Totals Records is not refreshed correctly after changing layout</t>
  </si>
  <si>
    <t xml:space="preserve">FIN-SEM-BCS-MD-WB</t>
  </si>
  <si>
    <t xml:space="preserve">0003716499</t>
  </si>
  <si>
    <t xml:space="preserve">3785616</t>
  </si>
  <si>
    <t xml:space="preserve">Dump during CO-PA extraction</t>
  </si>
  <si>
    <t xml:space="preserve">0003513327</t>
  </si>
  <si>
    <t xml:space="preserve">3785970</t>
  </si>
  <si>
    <t xml:space="preserve">Kontoauszug: Abbruch in SAPLBSPS wegen DATA_LENGTH_0</t>
  </si>
  <si>
    <t xml:space="preserve">0003705668</t>
  </si>
  <si>
    <t xml:space="preserve">3786196</t>
  </si>
  <si>
    <t xml:space="preserve">WBS Element value disappears in UI</t>
  </si>
  <si>
    <t xml:space="preserve">MM-FIO-PUR-REQ-SSP</t>
  </si>
  <si>
    <t xml:space="preserve">0003535740</t>
  </si>
  <si>
    <t xml:space="preserve">3787198</t>
  </si>
  <si>
    <t xml:space="preserve">Validity of multi-level method not considered correctly</t>
  </si>
  <si>
    <t xml:space="preserve">0003613486</t>
  </si>
  <si>
    <t xml:space="preserve">3787980</t>
  </si>
  <si>
    <t xml:space="preserve">CKMCCC: Wrong actual beginning inventory values</t>
  </si>
  <si>
    <t xml:space="preserve">0003512136</t>
  </si>
  <si>
    <t xml:space="preserve">3789234</t>
  </si>
  <si>
    <t xml:space="preserve">Error F5 727 raised for a cash ledger document posted additionally during clearing</t>
  </si>
  <si>
    <t xml:space="preserve">FI-GL-GL-J</t>
  </si>
  <si>
    <t xml:space="preserve">0003577393</t>
  </si>
  <si>
    <t xml:space="preserve">3789840</t>
  </si>
  <si>
    <t xml:space="preserve">Data Migration to S/4HANA: false positive FINS_RECON 763 for ledgers not used in Asset Accounting; inflated reconciliation total for true positives</t>
  </si>
  <si>
    <t xml:space="preserve">FIN-MIG-AA</t>
  </si>
  <si>
    <t xml:space="preserve">0003753135</t>
  </si>
  <si>
    <t xml:space="preserve">PwC RTR / Data Migration</t>
  </si>
  <si>
    <t xml:space="preserve">3791609</t>
  </si>
  <si>
    <t xml:space="preserve">Data Migration to S/4HANA: false positive FINS_RECON 773 (LDGRP mismatch) for fully statistical ANEK documents</t>
  </si>
  <si>
    <t xml:space="preserve">0003492815</t>
  </si>
  <si>
    <t xml:space="preserve">3792215</t>
  </si>
  <si>
    <t xml:space="preserve">Custom sorting of catalog lost after implementing note 3760261</t>
  </si>
  <si>
    <t xml:space="preserve">0003760261</t>
  </si>
  <si>
    <t xml:space="preserve">3792617</t>
  </si>
  <si>
    <t xml:space="preserve">Parameter adjustment in BAdI FPM_BICS_NAVIGATION not applied by search UIBB</t>
  </si>
  <si>
    <t xml:space="preserve">0003723229</t>
  </si>
  <si>
    <t xml:space="preserve">3793529</t>
  </si>
  <si>
    <t xml:space="preserve">IO304/IO261 during GR/GI for delivery with serialized HU</t>
  </si>
  <si>
    <t xml:space="preserve">LE-SHP-GF-SR</t>
  </si>
  <si>
    <t xml:space="preserve">0003608289</t>
  </si>
  <si>
    <t xml:space="preserve">3793800</t>
  </si>
  <si>
    <t xml:space="preserve">A2A Sales Order - RATE_EXT -&gt; CONVT_NO_NUMBER - Part 2</t>
  </si>
  <si>
    <t xml:space="preserve">SD-SLS-API</t>
  </si>
  <si>
    <t xml:space="preserve">0003587611</t>
  </si>
  <si>
    <t xml:space="preserve">3795313</t>
  </si>
  <si>
    <t xml:space="preserve">No SPAU alerts for SAPUI5 SMIM objects deleted via /UI5/MIME_CLEANUP report</t>
  </si>
  <si>
    <t xml:space="preserve">CA-UI5-DLV</t>
  </si>
  <si>
    <t xml:space="preserve">0003599156</t>
  </si>
  <si>
    <t xml:space="preserve">3797679</t>
  </si>
  <si>
    <t xml:space="preserve">Unable to retreive both AL and GOS type attachments using API</t>
  </si>
  <si>
    <t xml:space="preserve">0003546063</t>
  </si>
  <si>
    <t xml:space="preserve">3797710</t>
  </si>
  <si>
    <t xml:space="preserve">CVAPI_DOC_MAINTAIN always returns error "Object does not exist" although corresponding object exists in the system</t>
  </si>
  <si>
    <t xml:space="preserve">0003502891</t>
  </si>
  <si>
    <t xml:space="preserve">3799507</t>
  </si>
  <si>
    <t xml:space="preserve">ATC / CHECKMAN Error in MM-PUR Application</t>
  </si>
  <si>
    <t xml:space="preserve">0003713815</t>
  </si>
  <si>
    <t xml:space="preserve">0003743039</t>
  </si>
  <si>
    <t xml:space="preserve">3802611</t>
  </si>
  <si>
    <t xml:space="preserve">Hierarchy node selected from value help reported as wrong</t>
  </si>
  <si>
    <t xml:space="preserve">0003712499</t>
  </si>
  <si>
    <t xml:space="preserve">3805046</t>
  </si>
  <si>
    <t xml:space="preserve">Cleanup of unused shadow DDIC objects</t>
  </si>
  <si>
    <t xml:space="preserve">CA-LT-MIG</t>
  </si>
  <si>
    <t xml:space="preserve">0003706755</t>
  </si>
  <si>
    <t xml:space="preserve">3806085</t>
  </si>
  <si>
    <t xml:space="preserve">Error FAA_CFG_ACCESS 301 ('Depreciation key is not assigned') during asset transfer</t>
  </si>
  <si>
    <t xml:space="preserve">0003549734</t>
  </si>
  <si>
    <t xml:space="preserve">3809759</t>
  </si>
  <si>
    <t xml:space="preserve">VL06: Freight Order Column Empty in Internal Transportation Management Integration</t>
  </si>
  <si>
    <t xml:space="preserve">LE-SHP-GF</t>
  </si>
  <si>
    <t xml:space="preserve">0003546926</t>
  </si>
  <si>
    <t xml:space="preserve">0003757276</t>
  </si>
  <si>
    <t xml:space="preserve">0003685456</t>
  </si>
  <si>
    <t xml:space="preserve">0003608778</t>
  </si>
  <si>
    <t xml:space="preserve">0003622045</t>
  </si>
  <si>
    <t xml:space="preserve">3810261</t>
  </si>
  <si>
    <t xml:space="preserve">Value Help and Planning Sequence: Fix note 3676079</t>
  </si>
  <si>
    <t xml:space="preserve">0003676079</t>
  </si>
  <si>
    <t xml:space="preserve">DRC U.S. - FormInstanceTaxItems Endpoint Call Fails Due to Wrong Parameter Format</t>
  </si>
  <si>
    <t xml:space="preserve">FI-LOC-FI-US-SUT</t>
  </si>
  <si>
    <t xml:space="preserve">0003684090</t>
  </si>
  <si>
    <t xml:space="preserve">PwC DRC</t>
  </si>
  <si>
    <t xml:space="preserve">3830831</t>
  </si>
  <si>
    <t xml:space="preserve">Error message VL 632 with blank characters leads to dump CX_SY_REPLACE_INFINITE_LOOP</t>
  </si>
  <si>
    <t xml:space="preserve">0003663623</t>
  </si>
  <si>
    <t xml:space="preserve">3533859</t>
  </si>
  <si>
    <t xml:space="preserve">04 Low</t>
  </si>
  <si>
    <t xml:space="preserve">CVI_BDT: Dynpro 0023 of function group CVI_FS_UI_CUSTOMER mistakenly created in ERP systems as downport from S4CORE</t>
  </si>
  <si>
    <t xml:space="preserve">FS-BP</t>
  </si>
  <si>
    <t xml:space="preserve">0003501035</t>
  </si>
  <si>
    <t xml:space="preserve">3663413</t>
  </si>
  <si>
    <t xml:space="preserve">Webgui Data aging: virtual file system deleted on startup</t>
  </si>
  <si>
    <t xml:space="preserve">BC-FES-WGU</t>
  </si>
  <si>
    <t xml:space="preserve">0003613566</t>
  </si>
  <si>
    <t xml:space="preserve">3684513</t>
  </si>
  <si>
    <t xml:space="preserve">Remove Deprecated SAP__* entity from Odata service</t>
  </si>
  <si>
    <t xml:space="preserve">IS-LS-ICS-OPS-DEL</t>
  </si>
  <si>
    <t xml:space="preserve">0003457369</t>
  </si>
  <si>
    <t xml:space="preserve">3749544</t>
  </si>
  <si>
    <t xml:space="preserve">Support program for deletion of CO-PA characteristics[2]</t>
  </si>
  <si>
    <t xml:space="preserve">CO-PA-ST</t>
  </si>
  <si>
    <t xml:space="preserve">0003605401</t>
  </si>
  <si>
    <t xml:space="preserve">3764577</t>
  </si>
  <si>
    <t xml:space="preserve">API Release: Enhanced change evaluation for CDS view annotations in API compatibility ATC check</t>
  </si>
  <si>
    <t xml:space="preserve">BC-SRV-APS-EXT-REL</t>
  </si>
  <si>
    <t xml:space="preserve">0003745539</t>
  </si>
  <si>
    <t xml:space="preserve">0003749331</t>
  </si>
  <si>
    <t xml:space="preserve">3770825</t>
  </si>
  <si>
    <t xml:space="preserve">API Release: Enhanced change evaluation for DDLS in API compatibility ATC check</t>
  </si>
  <si>
    <t xml:space="preserve">BC-DWB-DIC</t>
  </si>
  <si>
    <t xml:space="preserve">3781224</t>
  </si>
  <si>
    <t xml:space="preserve">CVI_CIF: KNA1 data not saved when maintained through complex interface with current state</t>
  </si>
  <si>
    <t xml:space="preserve">CA-FS-CVI</t>
  </si>
  <si>
    <t xml:space="preserve">0003617764</t>
  </si>
  <si>
    <t xml:space="preserve">3806214</t>
  </si>
  <si>
    <t xml:space="preserve">Custom Business Configurations app (F4579): Short dump when search field and filter is used together</t>
  </si>
  <si>
    <t xml:space="preserve">BC-CUS-TOL-MBC</t>
  </si>
  <si>
    <t xml:space="preserve">0003741477</t>
  </si>
  <si>
    <t xml:space="preserve">3831697</t>
  </si>
  <si>
    <t xml:space="preserve">F4485 schreibt keine Nachrichten zum Storno ins Protokoll</t>
  </si>
  <si>
    <t xml:space="preserve">FI-FIO-AR</t>
  </si>
  <si>
    <t xml:space="preserve">0003724924</t>
  </si>
  <si>
    <t xml:space="preserve">Roles used in this plan</t>
  </si>
  <si>
    <t xml:space="preserve">Allocation follows INTL guidance: PwC functional and technical; INTL Basis owns Basis and the SAP relationships; INTL Security collaborates.</t>
  </si>
  <si>
    <t xml:space="preserve">Who</t>
  </si>
  <si>
    <t xml:space="preserve">Scope</t>
  </si>
  <si>
    <t xml:space="preserve">INTL-BAS</t>
  </si>
  <si>
    <t xml:space="preserve">Girish Ogirala (lead) + 1 onsite + 2 offshore</t>
  </si>
  <si>
    <t xml:space="preserve">Technical owner of the upgrade; SRs, copies, post-processing, transports, weekend coordination</t>
  </si>
  <si>
    <t xml:space="preserve">INTL-SEC</t>
  </si>
  <si>
    <t xml:space="preserve">Security team (collaborates with Basis)</t>
  </si>
  <si>
    <t xml:space="preserve">SU25/SU24, PFCG roles, GRC AC post-steps, SailPoint and SDMI users</t>
  </si>
  <si>
    <t xml:space="preserve">INTL-PMO</t>
  </si>
  <si>
    <t xml:space="preserve">Project NorthStar PMO</t>
  </si>
  <si>
    <t xml:space="preserve">Plan, gates, steering, communications</t>
  </si>
  <si>
    <t xml:space="preserve">INTL-TST</t>
  </si>
  <si>
    <t xml:space="preserve">NorthStar test management</t>
  </si>
  <si>
    <t xml:space="preserve">Regression scope, qTest/ADO tracking, UAT coordination</t>
  </si>
  <si>
    <t xml:space="preserve">INTL-PO</t>
  </si>
  <si>
    <t xml:space="preserve">Business product owners and IT leads</t>
  </si>
  <si>
    <t xml:space="preserve">UAT execution and business sign-off</t>
  </si>
  <si>
    <t xml:space="preserve">PwC-TEC</t>
  </si>
  <si>
    <t xml:space="preserve">PwC technical team</t>
  </si>
  <si>
    <t xml:space="preserve">SPDD/SPAU, notes, custom code, ATC, Fiori custom apps, RICEFW unit tests</t>
  </si>
  <si>
    <t xml:space="preserve">PwC-FUN</t>
  </si>
  <si>
    <t xml:space="preserve">PwC functional streams</t>
  </si>
  <si>
    <t xml:space="preserve">SI-check application items, regression testing, integration flows</t>
  </si>
  <si>
    <t xml:space="preserve">PwC-DM</t>
  </si>
  <si>
    <t xml:space="preserve">PwC data migration (Syniti)</t>
  </si>
  <si>
    <t xml:space="preserve">Mock loads, Syniti alignment, migration validation on SPS06</t>
  </si>
  <si>
    <t xml:space="preserve">SAP-ECS</t>
  </si>
  <si>
    <t xml:space="preserve">SAP Enterprise Cloud Services (via SRs)</t>
  </si>
  <si>
    <t xml:space="preserve">System copies, SUM execution, HANA/kernel, backups, technical FES upgrade</t>
  </si>
  <si>
    <t xml:space="preserve">SAP-MAX</t>
  </si>
  <si>
    <t xml:space="preserve">SAP MaxAttention engagement team</t>
  </si>
  <si>
    <t xml:space="preserve">Plan safeguarding, issue escalation, weekend/go-live support</t>
  </si>
  <si>
    <t xml:space="preserve">SAP-BTP</t>
  </si>
  <si>
    <t xml:space="preserve">SAP BTP team (from SAP)</t>
  </si>
  <si>
    <t xml:space="preserve">AFC, MBC, DRC, Work Zone tenants, Cloud Connector guidance</t>
  </si>
  <si>
    <t xml:space="preserve">VENDOR</t>
  </si>
  <si>
    <t xml:space="preserve">Partner vendors</t>
  </si>
  <si>
    <t xml:space="preserve">OpenText, Thomson Reuters, SailPoint, Syniti</t>
  </si>
  <si>
    <t xml:space="preserve">Compatibility statements and partner-specific steps</t>
  </si>
  <si>
    <t xml:space="preserve">Read me - how this workbook works</t>
  </si>
  <si>
    <t xml:space="preserve">CONFIDENTIAL AND PROPRIETARY TO INTERNATIONAL  |  Plan v4.0 (18 Oct 2026)</t>
  </si>
  <si>
    <t xml:space="preserve">Daily update (3 steps)</t>
  </si>
  <si>
    <t xml:space="preserve">1. Exec Summary</t>
  </si>
  <si>
    <t xml:space="preserve">Set "As of" to today. Check Overall status, the headline and the three key messages. Update team alignment and leadership asks.</t>
  </si>
  <si>
    <t xml:space="preserve">2. Schedule</t>
  </si>
  <si>
    <t xml:space="preserve">Set Status on each task and gate row (drop-down). Phase rows, % complete, Milestones and the Detail Plan follow automatically. Change Start/Finish only when a date really moves.</t>
  </si>
  <si>
    <t xml:space="preserve">3. Dashboard</t>
  </si>
  <si>
    <t xml:space="preserve">Open NorthStar_SPS06_Upgrade_Dashboard.html, choose "Update data" and pick this file (or drop it on the page). The file is read in your browser; nothing is uploaded.</t>
  </si>
  <si>
    <t xml:space="preserve">Tabs</t>
  </si>
  <si>
    <t xml:space="preserve">Schedule</t>
  </si>
  <si>
    <t xml:space="preserve">The plan in MS Project style: one line per step, verb first, with the team that performs it. Click the [-] buttons on the left to collapse to phases.</t>
  </si>
  <si>
    <t xml:space="preserve">Exec Summary</t>
  </si>
  <si>
    <t xml:space="preserve">What leaders see first on the dashboard: status, headline, key messages, team alignment, asks.</t>
  </si>
  <si>
    <t xml:space="preserve">Milestones</t>
  </si>
  <si>
    <t xml:space="preserve">Gates G0-G5 with their exit criteria, upgrade weekends and project dates.</t>
  </si>
  <si>
    <t xml:space="preserve">Detail Plan</t>
  </si>
  <si>
    <t xml:space="preserve">Reference detail behind each Schedule row (what exactly, deliverable, sources, notes). Column B links to the Schedule.</t>
  </si>
  <si>
    <t xml:space="preserve">Other tabs</t>
  </si>
  <si>
    <t xml:space="preserve">Systems, SR Tracker, RAID, Sandbox Test Plan, Integrations, Vendor Questions (with e-mail drafts), Transport Windows, SAP Teams, Guide Checklist, RACI, Project Calendar, Stream Test Focus, SAP Notes (In-Scope), Roles.</t>
  </si>
  <si>
    <t xml:space="preserve">Do not rename</t>
  </si>
  <si>
    <t xml:space="preserve">Sheet names and column headers: the dashboard finds data by these names. Insert new Schedule rows inside a phase so the phase roll-up includes them, and give them Type Task or Milestone.</t>
  </si>
  <si>
    <t xml:space="preserve">Yellow cells</t>
  </si>
  <si>
    <t xml:space="preserve">Cells you are expected to edit.</t>
  </si>
  <si>
    <t xml:space="preserve">Status values</t>
  </si>
  <si>
    <t xml:space="preserve">Gray - Not started yet</t>
  </si>
  <si>
    <t xml:space="preserve">Green - In progress and on plan</t>
  </si>
  <si>
    <t xml:space="preserve">Green - Done and evidenced</t>
  </si>
  <si>
    <t xml:space="preserve">Yellow - In progress, may miss its date - action needed</t>
  </si>
  <si>
    <t xml:space="preserve">Red - Cannot proceed - escalation needed</t>
  </si>
  <si>
    <t xml:space="preserve">Calculated: Finish before "As of" and Status not Complete. The Finish date turns red; the dashboard counts it.</t>
  </si>
  <si>
    <t xml:space="preserve">Teams</t>
  </si>
  <si>
    <t xml:space="preserve">INTL Basis: Girish Ogirala (lead) + 1 onsite + 2 offshore. Technical owner of the upgrade; SRs, copies, post-processing, transports, weekend coordination</t>
  </si>
  <si>
    <t xml:space="preserve">INTL SAP Security: Security team (collaborates with Basis). SU25/SU24, PFCG roles, GRC AC post-steps, SailPoint and SDMI users</t>
  </si>
  <si>
    <t xml:space="preserve">INTL PMO: Project NorthStar PMO. Plan, gates, steering, communications</t>
  </si>
  <si>
    <t xml:space="preserve">INTL Test Lead: NorthStar test management. Regression scope, qTest/ADO tracking, UAT coordination</t>
  </si>
  <si>
    <t xml:space="preserve">INTL PO / IT Leads: Business product owners and IT leads. UAT execution and business sign-off</t>
  </si>
  <si>
    <t xml:space="preserve">PwC Technical: PwC technical team. SPDD/SPAU, notes, custom code, ATC, Fiori custom apps, RICEFW unit tests</t>
  </si>
  <si>
    <t xml:space="preserve">PwC Functional: PwC functional streams. SI-check application items, regression testing, integration flows</t>
  </si>
  <si>
    <t xml:space="preserve">PwC Data Migration: PwC data migration (Syniti). Mock loads, Syniti alignment, migration validation on SPS06</t>
  </si>
  <si>
    <t xml:space="preserve">SAP ECS: SAP Enterprise Cloud Services (via SRs). System copies, SUM execution, HANA/kernel, backups, technical FES upgrade</t>
  </si>
  <si>
    <t xml:space="preserve">SAP MaxAttention: SAP MaxAttention engagement team. Plan safeguarding, issue escalation, weekend/go-live support</t>
  </si>
  <si>
    <t xml:space="preserve">SAP BTP</t>
  </si>
  <si>
    <t xml:space="preserve">SAP BTP team: SAP BTP team (from SAP). AFC, MBC, DRC, Work Zone tenants, Cloud Connector guidance</t>
  </si>
  <si>
    <t xml:space="preserve">Partner vendors: OpenText, Thomson Reuters, SailPoint, Syniti. Compatibility statements and partner-specific steps</t>
  </si>
  <si>
    <t xml:space="preserve">Sources</t>
  </si>
  <si>
    <t xml:space="preserve">SAP for Me SR 31018471 log (XS4 update), as uploaded</t>
  </si>
  <si>
    <t xml:space="preserve">MP</t>
  </si>
  <si>
    <t xml:space="preserve">Maintenance Plan 1002693650 (plan PDF, stack file, download list)</t>
  </si>
  <si>
    <t xml:space="preserve">UG</t>
  </si>
  <si>
    <t xml:space="preserve">Upgrade Guide for SAP S/4HANA Cloud Private Edition 2023, version 6.0 (UPGR_PE2023.pdf); section numbers quoted</t>
  </si>
  <si>
    <t xml:space="preserve">Side-effect report for MP 1002693650 (uploaded export) - note numbers quoted</t>
  </si>
  <si>
    <t xml:space="preserve">Project NorthStar Plan on a Page (updated 9/21) and project dates given by INTL</t>
  </si>
  <si>
    <t xml:space="preserve">Decisions and facts stated by Girish Ogirala (INTL Basis)</t>
  </si>
  <si>
    <t xml:space="preserve">Fallback plans</t>
  </si>
  <si>
    <t xml:space="preserve">Time zone</t>
  </si>
  <si>
    <t xml:space="preserve">Dates and times are US Central (the SR log uses America/Chicago). ECS windows are agreed in UTC.</t>
  </si>
  <si>
    <t xml:space="preserve">Colour</t>
  </si>
  <si>
    <t xml:space="preserve">Role code</t>
  </si>
  <si>
    <t xml:space="preserve">Gray</t>
  </si>
  <si>
    <t xml:space="preserve">GOV</t>
  </si>
  <si>
    <t xml:space="preserve">P0</t>
  </si>
  <si>
    <t xml:space="preserve">Green</t>
  </si>
  <si>
    <t xml:space="preserve">TEC</t>
  </si>
  <si>
    <t xml:space="preserve">P1</t>
  </si>
  <si>
    <t xml:space="preserve">CODE</t>
  </si>
  <si>
    <t xml:space="preserve">P2</t>
  </si>
  <si>
    <t xml:space="preserve">Yellow</t>
  </si>
  <si>
    <t xml:space="preserve">SEC</t>
  </si>
  <si>
    <t xml:space="preserve">P3</t>
  </si>
  <si>
    <t xml:space="preserve">Red</t>
  </si>
  <si>
    <t xml:space="preserve">INT</t>
  </si>
  <si>
    <t xml:space="preserve">P4</t>
  </si>
  <si>
    <t xml:space="preserve">FIO</t>
  </si>
  <si>
    <t xml:space="preserve">P5</t>
  </si>
  <si>
    <t xml:space="preserve">TST</t>
  </si>
  <si>
    <t xml:space="preserve">P6</t>
  </si>
  <si>
    <t xml:space="preserve">DM</t>
  </si>
  <si>
    <t xml:space="preserve">P7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</si>
</sst>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w/c &quot;d\ mmm"/>
    <numFmt numFmtId="166" formatCode="d"/>
    <numFmt numFmtId="167" formatCode="0&quot; d&quot;"/>
    <numFmt numFmtId="168" formatCode="ddd\ m/d/yy"/>
    <numFmt numFmtId="169" formatCode="0%"/>
    <numFmt numFmtId="170" formatCode="ddd\ d\ mmm\ yyyy"/>
    <numFmt numFmtId="171" formatCode="General"/>
    <numFmt numFmtId="172" formatCode="ddd\ d\ mmm\ yy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72623"/>
      <name val="Arial"/>
      <family val="0"/>
      <charset val="1"/>
    </font>
    <font>
      <i val="true"/>
      <sz val="9"/>
      <color rgb="FF4E5659"/>
      <name val="Arial"/>
      <family val="0"/>
      <charset val="1"/>
    </font>
    <font>
      <b val="true"/>
      <sz val="8"/>
      <color rgb="FF272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272623"/>
      <name val="Arial"/>
      <family val="0"/>
      <charset val="1"/>
    </font>
    <font>
      <sz val="9"/>
      <color rgb="FF272623"/>
      <name val="Arial"/>
      <family val="0"/>
      <charset val="1"/>
    </font>
    <font>
      <sz val="9"/>
      <color rgb="FF5C1916"/>
      <name val="Arial"/>
      <family val="0"/>
      <charset val="1"/>
    </font>
    <font>
      <b val="true"/>
      <sz val="9"/>
      <color rgb="FF5C1916"/>
      <name val="Arial"/>
      <family val="0"/>
      <charset val="1"/>
    </font>
    <font>
      <b val="true"/>
      <sz val="9"/>
      <color rgb="FFFF7144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272623"/>
      <name val="Arial"/>
      <family val="0"/>
      <charset val="1"/>
    </font>
    <font>
      <sz val="10"/>
      <color rgb="FF272623"/>
      <name val="Arial"/>
      <family val="0"/>
      <charset val="1"/>
    </font>
    <font>
      <b val="true"/>
      <sz val="11"/>
      <color rgb="FFFF71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D03B3B"/>
      <name val="Arial"/>
      <family val="0"/>
      <charset val="1"/>
    </font>
    <font>
      <b val="true"/>
      <sz val="9"/>
      <color rgb="FF4E5659"/>
      <name val="Arial"/>
      <family val="0"/>
      <charset val="1"/>
    </font>
    <font>
      <b val="true"/>
      <sz val="9"/>
      <color rgb="FFC98500"/>
      <name val="Arial"/>
      <family val="0"/>
      <charset val="1"/>
    </font>
    <font>
      <b val="true"/>
      <sz val="9"/>
      <color rgb="FF0B5E0B"/>
      <name val="Arial"/>
      <family val="0"/>
      <charset val="1"/>
    </font>
    <font>
      <b val="true"/>
      <sz val="9"/>
      <color rgb="FFB02A2A"/>
      <name val="Arial"/>
      <family val="0"/>
      <charset val="1"/>
    </font>
    <font>
      <b val="true"/>
      <sz val="9"/>
      <color rgb="FF8A5A00"/>
      <name val="Arial"/>
      <family val="0"/>
      <charset val="1"/>
    </font>
    <font>
      <b val="true"/>
      <sz val="12"/>
      <color rgb="FFFF71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7144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B5E0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72623"/>
        <bgColor rgb="FF3F3D3A"/>
      </patternFill>
    </fill>
    <fill>
      <patternFill patternType="solid">
        <fgColor rgb="FF4E5659"/>
        <bgColor rgb="FF374151"/>
      </patternFill>
    </fill>
    <fill>
      <patternFill patternType="solid">
        <fgColor rgb="FFF3F1EE"/>
        <bgColor rgb="FFF4F3F1"/>
      </patternFill>
    </fill>
    <fill>
      <patternFill patternType="solid">
        <fgColor rgb="FF3F3D3A"/>
        <bgColor rgb="FF374151"/>
      </patternFill>
    </fill>
    <fill>
      <patternFill patternType="solid">
        <fgColor rgb="FF0CA30C"/>
        <bgColor rgb="FF2E9E3A"/>
      </patternFill>
    </fill>
    <fill>
      <patternFill patternType="solid">
        <fgColor rgb="FF2E9E3A"/>
        <bgColor rgb="FF0CA30C"/>
      </patternFill>
    </fill>
    <fill>
      <patternFill patternType="solid">
        <fgColor rgb="FFA6DBA9"/>
        <bgColor rgb="FFA9B9CC"/>
      </patternFill>
    </fill>
    <fill>
      <patternFill patternType="solid">
        <fgColor rgb="FFA9B9CC"/>
        <bgColor rgb="FFB8B4AE"/>
      </patternFill>
    </fill>
    <fill>
      <patternFill patternType="solid">
        <fgColor rgb="FFFAB219"/>
        <bgColor rgb="FFFFCC00"/>
      </patternFill>
    </fill>
    <fill>
      <patternFill patternType="solid">
        <fgColor rgb="FFD03B3B"/>
        <bgColor rgb="FFB02A2A"/>
      </patternFill>
    </fill>
    <fill>
      <patternFill patternType="solid">
        <fgColor rgb="FFFFD3C2"/>
        <bgColor rgb="FFFFE9E1"/>
      </patternFill>
    </fill>
    <fill>
      <patternFill patternType="solid">
        <fgColor rgb="FFF4F3F1"/>
        <bgColor rgb="FFF3F1EE"/>
      </patternFill>
    </fill>
    <fill>
      <patternFill patternType="solid">
        <fgColor rgb="FFFFF4D6"/>
        <bgColor rgb="FFFFE9E1"/>
      </patternFill>
    </fill>
    <fill>
      <patternFill patternType="solid">
        <fgColor rgb="FFFFE9E1"/>
        <bgColor rgb="FFFFF4D6"/>
      </patternFill>
    </fill>
    <fill>
      <patternFill patternType="solid">
        <fgColor rgb="FFFFFFFF"/>
        <bgColor rgb="FFF4F3F1"/>
      </patternFill>
    </fill>
    <fill>
      <patternFill patternType="solid">
        <fgColor rgb="FFFFB59E"/>
        <bgColor rgb="FFFFD3C2"/>
      </patternFill>
    </fill>
    <fill>
      <patternFill patternType="solid">
        <fgColor rgb="FFE5E7EB"/>
        <bgColor rgb="FFE5E2DD"/>
      </patternFill>
    </fill>
    <fill>
      <patternFill patternType="solid">
        <fgColor rgb="FFCDEFD0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B4AE"/>
      </left>
      <right/>
      <top/>
      <bottom/>
      <diagonal/>
    </border>
    <border diagonalUp="false" diagonalDown="false">
      <left style="thin">
        <color rgb="FFD6D3CE"/>
      </left>
      <right style="thin">
        <color rgb="FFD6D3CE"/>
      </right>
      <top style="thin">
        <color rgb="FFD6D3CE"/>
      </top>
      <bottom style="thin">
        <color rgb="FFD6D3CE"/>
      </bottom>
      <diagonal/>
    </border>
    <border diagonalUp="false" diagonalDown="false">
      <left/>
      <right style="hair">
        <color rgb="FFE5E2DD"/>
      </right>
      <top/>
      <bottom style="hair">
        <color rgb="FFD6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2" fillId="1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272623"/>
          <bgColor rgb="FF000000"/>
        </patternFill>
      </fill>
    </dxf>
    <dxf>
      <fill>
        <patternFill patternType="solid">
          <fgColor rgb="FFF3F1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C19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CA30C"/>
          <bgColor rgb="FF000000"/>
        </patternFill>
      </fill>
    </dxf>
    <dxf>
      <fill>
        <patternFill patternType="solid">
          <fgColor rgb="FFCDEFD0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0B5E0B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ont>
        <name val="Arial"/>
        <charset val="1"/>
        <family val="0"/>
        <b val="1"/>
        <color rgb="FF374151"/>
      </font>
      <fill>
        <patternFill>
          <bgColor rgb="FFE5E7EB"/>
        </patternFill>
      </fill>
    </dxf>
    <dxf>
      <font>
        <name val="Arial"/>
        <charset val="1"/>
        <family val="0"/>
        <b val="1"/>
        <color rgb="FF0B5E0B"/>
      </font>
      <fill>
        <patternFill>
          <bgColor rgb="FFCDEFD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CA30C"/>
        </patternFill>
      </fill>
    </dxf>
    <dxf>
      <font>
        <name val="Arial"/>
        <charset val="1"/>
        <family val="0"/>
        <b val="1"/>
        <color rgb="FF272623"/>
      </font>
      <fill>
        <patternFill>
          <bgColor rgb="FFFAB21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03B3B"/>
        </patternFill>
      </fill>
    </dxf>
    <dxf>
      <font>
        <name val="Arial"/>
        <charset val="1"/>
        <family val="0"/>
        <b val="1"/>
        <color rgb="FFD03B3B"/>
      </font>
    </dxf>
    <dxf>
      <font>
        <name val="Arial"/>
        <charset val="1"/>
        <family val="0"/>
        <b val="1"/>
        <color rgb="FF0CA30C"/>
      </font>
    </dxf>
    <dxf>
      <font>
        <name val="Arial"/>
        <charset val="1"/>
        <family val="0"/>
        <b val="1"/>
        <color rgb="FF5C1916"/>
      </font>
    </dxf>
    <dxf>
      <fill>
        <patternFill>
          <bgColor rgb="FF3F3D3A"/>
        </patternFill>
      </fill>
    </dxf>
    <dxf>
      <fill>
        <patternFill>
          <bgColor rgb="FF0CA30C"/>
        </patternFill>
      </fill>
    </dxf>
    <dxf>
      <fill>
        <patternFill>
          <bgColor rgb="FF2E9E3A"/>
        </patternFill>
      </fill>
    </dxf>
    <dxf>
      <fill>
        <patternFill>
          <bgColor rgb="FFA6DBA9"/>
        </patternFill>
      </fill>
    </dxf>
    <dxf>
      <fill>
        <patternFill>
          <bgColor rgb="FFFAB219"/>
        </patternFill>
      </fill>
    </dxf>
    <dxf>
      <fill>
        <patternFill>
          <bgColor rgb="FFD03B3B"/>
        </patternFill>
      </fill>
    </dxf>
    <dxf>
      <fill>
        <patternFill>
          <bgColor rgb="FFA9B9CC"/>
        </patternFill>
      </fill>
    </dxf>
    <dxf>
      <fill>
        <patternFill>
          <bgColor rgb="FFFFD3C2"/>
        </patternFill>
      </fill>
    </dxf>
    <dxf>
      <fill>
        <patternFill>
          <bgColor rgb="FFF4F3F1"/>
        </patternFill>
      </fill>
    </dxf>
    <dxf>
      <fill>
        <patternFill>
          <bgColor rgb="FFFF7144"/>
        </patternFill>
      </fill>
    </dxf>
    <dxf>
      <fill>
        <patternFill patternType="solid">
          <fgColor rgb="FFFFE9E1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D03B3B"/>
          <bgColor rgb="FF000000"/>
        </patternFill>
      </fill>
    </dxf>
    <dxf>
      <fill>
        <patternFill patternType="solid">
          <fgColor rgb="FF4E5659"/>
          <bgColor rgb="FF000000"/>
        </patternFill>
      </fill>
    </dxf>
    <dxf>
      <fill>
        <patternFill patternType="solid">
          <fgColor rgb="FFC98500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B02A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3F1EE"/>
      <rgbColor rgb="FFFF00FF"/>
      <rgbColor rgb="FF00FFFF"/>
      <rgbColor rgb="FF5C1916"/>
      <rgbColor rgb="FF0B5E0B"/>
      <rgbColor rgb="FF000080"/>
      <rgbColor rgb="FF8A5A00"/>
      <rgbColor rgb="FF800080"/>
      <rgbColor rgb="FF0CA30C"/>
      <rgbColor rgb="FFB8B4AE"/>
      <rgbColor rgb="FF808080"/>
      <rgbColor rgb="FF9999FF"/>
      <rgbColor rgb="FFD03B3B"/>
      <rgbColor rgb="FFFFF4D6"/>
      <rgbColor rgb="FFE5E7EB"/>
      <rgbColor rgb="FF660066"/>
      <rgbColor rgb="FFFF7144"/>
      <rgbColor rgb="FF0066CC"/>
      <rgbColor rgb="FFD6D3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3F1"/>
      <rgbColor rgb="FFCDEFD0"/>
      <rgbColor rgb="FFFFE9E1"/>
      <rgbColor rgb="FFA9B9CC"/>
      <rgbColor rgb="FFFFB59E"/>
      <rgbColor rgb="FFE5E2DD"/>
      <rgbColor rgb="FFFFD3C2"/>
      <rgbColor rgb="FF3366FF"/>
      <rgbColor rgb="FF33CCCC"/>
      <rgbColor rgb="FFA6DBA9"/>
      <rgbColor rgb="FFFFCC00"/>
      <rgbColor rgb="FFFAB219"/>
      <rgbColor rgb="FFC98500"/>
      <rgbColor rgb="FF4E5659"/>
      <rgbColor rgb="FFA8A29E"/>
      <rgbColor rgb="FF003366"/>
      <rgbColor rgb="FF2E9E3A"/>
      <rgbColor rgb="FF003300"/>
      <rgbColor rgb="FF272623"/>
      <rgbColor rgb="FFB02A2A"/>
      <rgbColor rgb="FF993366"/>
      <rgbColor rgb="FF374151"/>
      <rgbColor rgb="FF3F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CQ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95" min="12" style="0" width="2.4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tr">
        <f aca="false">"As of "&amp;TEXT(AsOf,"ddd d mmm yyyy")&amp;"   |   Update the Status column daily (drop-down). Phase rows roll up by themselves.   |   CONFIDENTIAL AND PROPRIETARY TO INTERNATIONAL"</f>
        <v>As of Sun 18 Oct 2026   |   Update the Status column daily (drop-down). Phase rows roll up by themselves.   |   CONFIDENTIAL AND PROPRIETARY TO INTERNATIONAL</v>
      </c>
    </row>
    <row r="3" customFormat="false" ht="15" hidden="false" customHeight="false" outlineLevel="0" collapsed="false">
      <c r="L3" s="3" t="n">
        <v>46307</v>
      </c>
      <c r="M3" s="3"/>
      <c r="N3" s="3"/>
      <c r="O3" s="3"/>
      <c r="P3" s="3"/>
      <c r="Q3" s="3"/>
      <c r="R3" s="3"/>
      <c r="S3" s="3" t="n">
        <v>46314</v>
      </c>
      <c r="T3" s="3"/>
      <c r="U3" s="3"/>
      <c r="V3" s="3"/>
      <c r="W3" s="3"/>
      <c r="X3" s="3"/>
      <c r="Y3" s="3"/>
      <c r="Z3" s="3" t="n">
        <v>46321</v>
      </c>
      <c r="AA3" s="3"/>
      <c r="AB3" s="3"/>
      <c r="AC3" s="3"/>
      <c r="AD3" s="3"/>
      <c r="AE3" s="3"/>
      <c r="AF3" s="3"/>
      <c r="AG3" s="3" t="n">
        <v>46328</v>
      </c>
      <c r="AH3" s="3"/>
      <c r="AI3" s="3"/>
      <c r="AJ3" s="3"/>
      <c r="AK3" s="3"/>
      <c r="AL3" s="3"/>
      <c r="AM3" s="3"/>
      <c r="AN3" s="3" t="n">
        <v>46335</v>
      </c>
      <c r="AO3" s="3"/>
      <c r="AP3" s="3"/>
      <c r="AQ3" s="3"/>
      <c r="AR3" s="3"/>
      <c r="AS3" s="3"/>
      <c r="AT3" s="3"/>
      <c r="AU3" s="3" t="n">
        <v>46342</v>
      </c>
      <c r="AV3" s="3"/>
      <c r="AW3" s="3"/>
      <c r="AX3" s="3"/>
      <c r="AY3" s="3"/>
      <c r="AZ3" s="3"/>
      <c r="BA3" s="3"/>
      <c r="BB3" s="3" t="n">
        <v>46349</v>
      </c>
      <c r="BC3" s="3"/>
      <c r="BD3" s="3"/>
      <c r="BE3" s="3"/>
      <c r="BF3" s="3"/>
      <c r="BG3" s="3"/>
      <c r="BH3" s="3"/>
      <c r="BI3" s="3" t="n">
        <v>46356</v>
      </c>
      <c r="BJ3" s="3"/>
      <c r="BK3" s="3"/>
      <c r="BL3" s="3"/>
      <c r="BM3" s="3"/>
      <c r="BN3" s="3"/>
      <c r="BO3" s="3"/>
      <c r="BP3" s="3" t="n">
        <v>46363</v>
      </c>
      <c r="BQ3" s="3"/>
      <c r="BR3" s="3"/>
      <c r="BS3" s="3"/>
      <c r="BT3" s="3"/>
      <c r="BU3" s="3"/>
      <c r="BV3" s="3"/>
      <c r="BW3" s="3" t="n">
        <v>46370</v>
      </c>
      <c r="BX3" s="3"/>
      <c r="BY3" s="3"/>
      <c r="BZ3" s="3"/>
      <c r="CA3" s="3"/>
      <c r="CB3" s="3"/>
      <c r="CC3" s="3"/>
      <c r="CD3" s="3" t="n">
        <v>46377</v>
      </c>
      <c r="CE3" s="3"/>
      <c r="CF3" s="3"/>
      <c r="CG3" s="3"/>
      <c r="CH3" s="3"/>
      <c r="CI3" s="3"/>
      <c r="CJ3" s="3"/>
      <c r="CK3" s="3" t="n">
        <v>46384</v>
      </c>
      <c r="CL3" s="3"/>
      <c r="CM3" s="3"/>
      <c r="CN3" s="3"/>
      <c r="CO3" s="3"/>
      <c r="CP3" s="3"/>
      <c r="CQ3" s="3"/>
    </row>
    <row r="4" customFormat="false" ht="27.75" hidden="false" customHeight="true" outlineLevel="0" collapsed="false">
      <c r="A4" s="4" t="s">
        <v>1</v>
      </c>
      <c r="B4" s="5" t="s">
        <v>2</v>
      </c>
      <c r="C4" s="5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6" t="n">
        <v>46307</v>
      </c>
      <c r="M4" s="6" t="n">
        <v>46308</v>
      </c>
      <c r="N4" s="6" t="n">
        <v>46309</v>
      </c>
      <c r="O4" s="6" t="n">
        <v>46310</v>
      </c>
      <c r="P4" s="6" t="n">
        <v>46311</v>
      </c>
      <c r="Q4" s="7" t="n">
        <v>46312</v>
      </c>
      <c r="R4" s="7" t="n">
        <v>46313</v>
      </c>
      <c r="S4" s="6" t="n">
        <v>46314</v>
      </c>
      <c r="T4" s="6" t="n">
        <v>46315</v>
      </c>
      <c r="U4" s="6" t="n">
        <v>46316</v>
      </c>
      <c r="V4" s="6" t="n">
        <v>46317</v>
      </c>
      <c r="W4" s="6" t="n">
        <v>46318</v>
      </c>
      <c r="X4" s="7" t="n">
        <v>46319</v>
      </c>
      <c r="Y4" s="7" t="n">
        <v>46320</v>
      </c>
      <c r="Z4" s="6" t="n">
        <v>46321</v>
      </c>
      <c r="AA4" s="6" t="n">
        <v>46322</v>
      </c>
      <c r="AB4" s="6" t="n">
        <v>46323</v>
      </c>
      <c r="AC4" s="6" t="n">
        <v>46324</v>
      </c>
      <c r="AD4" s="6" t="n">
        <v>46325</v>
      </c>
      <c r="AE4" s="7" t="n">
        <v>46326</v>
      </c>
      <c r="AF4" s="7" t="n">
        <v>46327</v>
      </c>
      <c r="AG4" s="6" t="n">
        <v>46328</v>
      </c>
      <c r="AH4" s="6" t="n">
        <v>46329</v>
      </c>
      <c r="AI4" s="6" t="n">
        <v>46330</v>
      </c>
      <c r="AJ4" s="6" t="n">
        <v>46331</v>
      </c>
      <c r="AK4" s="6" t="n">
        <v>46332</v>
      </c>
      <c r="AL4" s="7" t="n">
        <v>46333</v>
      </c>
      <c r="AM4" s="7" t="n">
        <v>46334</v>
      </c>
      <c r="AN4" s="6" t="n">
        <v>46335</v>
      </c>
      <c r="AO4" s="6" t="n">
        <v>46336</v>
      </c>
      <c r="AP4" s="6" t="n">
        <v>46337</v>
      </c>
      <c r="AQ4" s="6" t="n">
        <v>46338</v>
      </c>
      <c r="AR4" s="6" t="n">
        <v>46339</v>
      </c>
      <c r="AS4" s="7" t="n">
        <v>46340</v>
      </c>
      <c r="AT4" s="7" t="n">
        <v>46341</v>
      </c>
      <c r="AU4" s="6" t="n">
        <v>46342</v>
      </c>
      <c r="AV4" s="6" t="n">
        <v>46343</v>
      </c>
      <c r="AW4" s="6" t="n">
        <v>46344</v>
      </c>
      <c r="AX4" s="6" t="n">
        <v>46345</v>
      </c>
      <c r="AY4" s="6" t="n">
        <v>46346</v>
      </c>
      <c r="AZ4" s="7" t="n">
        <v>46347</v>
      </c>
      <c r="BA4" s="7" t="n">
        <v>46348</v>
      </c>
      <c r="BB4" s="6" t="n">
        <v>46349</v>
      </c>
      <c r="BC4" s="6" t="n">
        <v>46350</v>
      </c>
      <c r="BD4" s="6" t="n">
        <v>46351</v>
      </c>
      <c r="BE4" s="6" t="n">
        <v>46352</v>
      </c>
      <c r="BF4" s="6" t="n">
        <v>46353</v>
      </c>
      <c r="BG4" s="7" t="n">
        <v>46354</v>
      </c>
      <c r="BH4" s="7" t="n">
        <v>46355</v>
      </c>
      <c r="BI4" s="6" t="n">
        <v>46356</v>
      </c>
      <c r="BJ4" s="6" t="n">
        <v>46357</v>
      </c>
      <c r="BK4" s="6" t="n">
        <v>46358</v>
      </c>
      <c r="BL4" s="6" t="n">
        <v>46359</v>
      </c>
      <c r="BM4" s="6" t="n">
        <v>46360</v>
      </c>
      <c r="BN4" s="7" t="n">
        <v>46361</v>
      </c>
      <c r="BO4" s="7" t="n">
        <v>46362</v>
      </c>
      <c r="BP4" s="6" t="n">
        <v>46363</v>
      </c>
      <c r="BQ4" s="6" t="n">
        <v>46364</v>
      </c>
      <c r="BR4" s="6" t="n">
        <v>46365</v>
      </c>
      <c r="BS4" s="6" t="n">
        <v>46366</v>
      </c>
      <c r="BT4" s="6" t="n">
        <v>46367</v>
      </c>
      <c r="BU4" s="7" t="n">
        <v>46368</v>
      </c>
      <c r="BV4" s="7" t="n">
        <v>46369</v>
      </c>
      <c r="BW4" s="6" t="n">
        <v>46370</v>
      </c>
      <c r="BX4" s="6" t="n">
        <v>46371</v>
      </c>
      <c r="BY4" s="6" t="n">
        <v>46372</v>
      </c>
      <c r="BZ4" s="6" t="n">
        <v>46373</v>
      </c>
      <c r="CA4" s="6" t="n">
        <v>46374</v>
      </c>
      <c r="CB4" s="7" t="n">
        <v>46375</v>
      </c>
      <c r="CC4" s="7" t="n">
        <v>46376</v>
      </c>
      <c r="CD4" s="6" t="n">
        <v>46377</v>
      </c>
      <c r="CE4" s="6" t="n">
        <v>46378</v>
      </c>
      <c r="CF4" s="6" t="n">
        <v>46379</v>
      </c>
      <c r="CG4" s="6" t="n">
        <v>46380</v>
      </c>
      <c r="CH4" s="6" t="n">
        <v>46381</v>
      </c>
      <c r="CI4" s="7" t="n">
        <v>46382</v>
      </c>
      <c r="CJ4" s="7" t="n">
        <v>46383</v>
      </c>
      <c r="CK4" s="6" t="n">
        <v>46384</v>
      </c>
      <c r="CL4" s="6" t="n">
        <v>46385</v>
      </c>
      <c r="CM4" s="6" t="n">
        <v>46386</v>
      </c>
      <c r="CN4" s="6" t="n">
        <v>46387</v>
      </c>
      <c r="CO4" s="6" t="n">
        <v>46388</v>
      </c>
      <c r="CP4" s="7" t="n">
        <v>46389</v>
      </c>
      <c r="CQ4" s="7" t="n">
        <v>46390</v>
      </c>
    </row>
    <row r="5" customFormat="false" ht="15.75" hidden="false" customHeight="true" outlineLevel="0" collapsed="false">
      <c r="A5" s="8" t="s">
        <v>12</v>
      </c>
      <c r="B5" s="9" t="s">
        <v>13</v>
      </c>
      <c r="C5" s="9"/>
      <c r="D5" s="10" t="n">
        <f aca="false">IF(OR(E5="",F5=""),"",F5-E5+1)</f>
        <v>14</v>
      </c>
      <c r="E5" s="11" t="n">
        <f aca="false">MIN(E6:E9)</f>
        <v>46297</v>
      </c>
      <c r="F5" s="11" t="n">
        <f aca="false">MAX(F6:F9)</f>
        <v>46310</v>
      </c>
      <c r="G5" s="8" t="str">
        <f aca="false">IF(COUNTIF(G6:G9,"Blocked")&gt;0,"Blocked",IF(COUNTIF(G6:G9,"At Risk")&gt;0,"At Risk",IF(COUNTIF(G6:G9,"Complete")=ROWS(G6:G9),"Complete",IF(COUNTIF(G6:G9,"Not Started")=ROWS(G6:G9),"Not Started","On Track"))))</f>
        <v>Complete</v>
      </c>
      <c r="H5" s="12" t="n">
        <f aca="false">IFERROR(SUMPRODUCT(D6:D9,H6:H9)/SUM(D6:D9),0)</f>
        <v>1</v>
      </c>
      <c r="I5" s="9"/>
      <c r="J5" s="9"/>
      <c r="K5" s="8" t="s">
        <v>14</v>
      </c>
    </row>
    <row r="6" customFormat="false" ht="15.75" hidden="false" customHeight="true" outlineLevel="1" collapsed="false">
      <c r="A6" s="13" t="s">
        <v>15</v>
      </c>
      <c r="B6" s="14" t="s">
        <v>16</v>
      </c>
      <c r="C6" s="15" t="s">
        <v>17</v>
      </c>
      <c r="D6" s="16" t="n">
        <f aca="false">IF(K6="Milestone",0,F6-E6+1)</f>
        <v>5</v>
      </c>
      <c r="E6" s="17" t="n">
        <v>46297</v>
      </c>
      <c r="F6" s="17" t="n">
        <v>46301</v>
      </c>
      <c r="G6" s="13" t="s">
        <v>18</v>
      </c>
      <c r="H6" s="18" t="n">
        <f aca="false">IF(G6="Complete",1,IF(OR(G6="Not Started",K6="Milestone",AsOf&lt;E6),0,MIN(0.9,MAX(0,(AsOf-E6+1)/(F6-E6+1)))))</f>
        <v>1</v>
      </c>
      <c r="I6" s="15"/>
      <c r="J6" s="15" t="s">
        <v>19</v>
      </c>
      <c r="K6" s="13" t="s">
        <v>2</v>
      </c>
    </row>
    <row r="7" customFormat="false" ht="15.75" hidden="false" customHeight="true" outlineLevel="1" collapsed="false">
      <c r="A7" s="13" t="s">
        <v>20</v>
      </c>
      <c r="B7" s="14" t="s">
        <v>21</v>
      </c>
      <c r="C7" s="15" t="s">
        <v>22</v>
      </c>
      <c r="D7" s="16" t="n">
        <f aca="false">IF(K7="Milestone",0,F7-E7+1)</f>
        <v>2</v>
      </c>
      <c r="E7" s="17" t="n">
        <v>46298</v>
      </c>
      <c r="F7" s="17" t="n">
        <v>46299</v>
      </c>
      <c r="G7" s="13" t="s">
        <v>18</v>
      </c>
      <c r="H7" s="18" t="n">
        <f aca="false">IF(G7="Complete",1,IF(OR(G7="Not Started",K7="Milestone",AsOf&lt;E7),0,MIN(0.9,MAX(0,(AsOf-E7+1)/(F7-E7+1)))))</f>
        <v>1</v>
      </c>
      <c r="I7" s="15"/>
      <c r="J7" s="15" t="s">
        <v>23</v>
      </c>
      <c r="K7" s="13" t="s">
        <v>2</v>
      </c>
    </row>
    <row r="8" customFormat="false" ht="15.75" hidden="false" customHeight="true" outlineLevel="1" collapsed="false">
      <c r="A8" s="13" t="s">
        <v>24</v>
      </c>
      <c r="B8" s="14" t="s">
        <v>25</v>
      </c>
      <c r="C8" s="15" t="s">
        <v>26</v>
      </c>
      <c r="D8" s="16" t="n">
        <f aca="false">IF(K8="Milestone",0,F8-E8+1)</f>
        <v>8</v>
      </c>
      <c r="E8" s="17" t="n">
        <v>46302</v>
      </c>
      <c r="F8" s="17" t="n">
        <v>46309</v>
      </c>
      <c r="G8" s="13" t="s">
        <v>18</v>
      </c>
      <c r="H8" s="18" t="n">
        <f aca="false">IF(G8="Complete",1,IF(OR(G8="Not Started",K8="Milestone",AsOf&lt;E8),0,MIN(0.9,MAX(0,(AsOf-E8+1)/(F8-E8+1)))))</f>
        <v>1</v>
      </c>
      <c r="I8" s="15" t="s">
        <v>20</v>
      </c>
      <c r="J8" s="15" t="s">
        <v>27</v>
      </c>
      <c r="K8" s="13" t="s">
        <v>2</v>
      </c>
    </row>
    <row r="9" customFormat="false" ht="15.75" hidden="false" customHeight="true" outlineLevel="1" collapsed="false">
      <c r="A9" s="19" t="s">
        <v>28</v>
      </c>
      <c r="B9" s="20" t="s">
        <v>29</v>
      </c>
      <c r="C9" s="21" t="s">
        <v>22</v>
      </c>
      <c r="D9" s="22" t="n">
        <f aca="false">IF(K9="Milestone",0,F9-E9+1)</f>
        <v>0</v>
      </c>
      <c r="E9" s="23" t="n">
        <v>46310</v>
      </c>
      <c r="F9" s="23" t="n">
        <v>46310</v>
      </c>
      <c r="G9" s="19" t="s">
        <v>18</v>
      </c>
      <c r="H9" s="24" t="n">
        <f aca="false">IF(G9="Complete",1,IF(OR(G9="Not Started",K9="Milestone",AsOf&lt;E9),0,MIN(0.9,MAX(0,(AsOf-E9+1)/(F9-E9+1)))))</f>
        <v>1</v>
      </c>
      <c r="I9" s="21" t="s">
        <v>24</v>
      </c>
      <c r="J9" s="21" t="s">
        <v>30</v>
      </c>
      <c r="K9" s="19" t="s">
        <v>31</v>
      </c>
      <c r="L9" s="25" t="str">
        <f aca="false">IF(L$4=$E9,"◆","")</f>
        <v/>
      </c>
      <c r="M9" s="25" t="str">
        <f aca="false">IF(M$4=$E9,"◆","")</f>
        <v/>
      </c>
      <c r="N9" s="25" t="str">
        <f aca="false">IF(N$4=$E9,"◆","")</f>
        <v/>
      </c>
      <c r="O9" s="25" t="str">
        <f aca="false">IF(O$4=$E9,"◆","")</f>
        <v>◆</v>
      </c>
      <c r="P9" s="25" t="str">
        <f aca="false">IF(P$4=$E9,"◆","")</f>
        <v/>
      </c>
      <c r="Q9" s="25" t="str">
        <f aca="false">IF(Q$4=$E9,"◆","")</f>
        <v/>
      </c>
      <c r="R9" s="25" t="str">
        <f aca="false">IF(R$4=$E9,"◆","")</f>
        <v/>
      </c>
      <c r="S9" s="25" t="str">
        <f aca="false">IF(S$4=$E9,"◆","")</f>
        <v/>
      </c>
      <c r="T9" s="25" t="str">
        <f aca="false">IF(T$4=$E9,"◆","")</f>
        <v/>
      </c>
      <c r="U9" s="25" t="str">
        <f aca="false">IF(U$4=$E9,"◆","")</f>
        <v/>
      </c>
      <c r="V9" s="25" t="str">
        <f aca="false">IF(V$4=$E9,"◆","")</f>
        <v/>
      </c>
      <c r="W9" s="25" t="str">
        <f aca="false">IF(W$4=$E9,"◆","")</f>
        <v/>
      </c>
      <c r="X9" s="25" t="str">
        <f aca="false">IF(X$4=$E9,"◆","")</f>
        <v/>
      </c>
      <c r="Y9" s="25" t="str">
        <f aca="false">IF(Y$4=$E9,"◆","")</f>
        <v/>
      </c>
      <c r="Z9" s="25" t="str">
        <f aca="false">IF(Z$4=$E9,"◆","")</f>
        <v/>
      </c>
      <c r="AA9" s="25" t="str">
        <f aca="false">IF(AA$4=$E9,"◆","")</f>
        <v/>
      </c>
      <c r="AB9" s="25" t="str">
        <f aca="false">IF(AB$4=$E9,"◆","")</f>
        <v/>
      </c>
      <c r="AC9" s="25" t="str">
        <f aca="false">IF(AC$4=$E9,"◆","")</f>
        <v/>
      </c>
      <c r="AD9" s="25" t="str">
        <f aca="false">IF(AD$4=$E9,"◆","")</f>
        <v/>
      </c>
      <c r="AE9" s="25" t="str">
        <f aca="false">IF(AE$4=$E9,"◆","")</f>
        <v/>
      </c>
      <c r="AF9" s="25" t="str">
        <f aca="false">IF(AF$4=$E9,"◆","")</f>
        <v/>
      </c>
      <c r="AG9" s="25" t="str">
        <f aca="false">IF(AG$4=$E9,"◆","")</f>
        <v/>
      </c>
      <c r="AH9" s="25" t="str">
        <f aca="false">IF(AH$4=$E9,"◆","")</f>
        <v/>
      </c>
      <c r="AI9" s="25" t="str">
        <f aca="false">IF(AI$4=$E9,"◆","")</f>
        <v/>
      </c>
      <c r="AJ9" s="25" t="str">
        <f aca="false">IF(AJ$4=$E9,"◆","")</f>
        <v/>
      </c>
      <c r="AK9" s="25" t="str">
        <f aca="false">IF(AK$4=$E9,"◆","")</f>
        <v/>
      </c>
      <c r="AL9" s="25" t="str">
        <f aca="false">IF(AL$4=$E9,"◆","")</f>
        <v/>
      </c>
      <c r="AM9" s="25" t="str">
        <f aca="false">IF(AM$4=$E9,"◆","")</f>
        <v/>
      </c>
      <c r="AN9" s="25" t="str">
        <f aca="false">IF(AN$4=$E9,"◆","")</f>
        <v/>
      </c>
      <c r="AO9" s="25" t="str">
        <f aca="false">IF(AO$4=$E9,"◆","")</f>
        <v/>
      </c>
      <c r="AP9" s="25" t="str">
        <f aca="false">IF(AP$4=$E9,"◆","")</f>
        <v/>
      </c>
      <c r="AQ9" s="25" t="str">
        <f aca="false">IF(AQ$4=$E9,"◆","")</f>
        <v/>
      </c>
      <c r="AR9" s="25" t="str">
        <f aca="false">IF(AR$4=$E9,"◆","")</f>
        <v/>
      </c>
      <c r="AS9" s="25" t="str">
        <f aca="false">IF(AS$4=$E9,"◆","")</f>
        <v/>
      </c>
      <c r="AT9" s="25" t="str">
        <f aca="false">IF(AT$4=$E9,"◆","")</f>
        <v/>
      </c>
      <c r="AU9" s="25" t="str">
        <f aca="false">IF(AU$4=$E9,"◆","")</f>
        <v/>
      </c>
      <c r="AV9" s="25" t="str">
        <f aca="false">IF(AV$4=$E9,"◆","")</f>
        <v/>
      </c>
      <c r="AW9" s="25" t="str">
        <f aca="false">IF(AW$4=$E9,"◆","")</f>
        <v/>
      </c>
      <c r="AX9" s="25" t="str">
        <f aca="false">IF(AX$4=$E9,"◆","")</f>
        <v/>
      </c>
      <c r="AY9" s="25" t="str">
        <f aca="false">IF(AY$4=$E9,"◆","")</f>
        <v/>
      </c>
      <c r="AZ9" s="25" t="str">
        <f aca="false">IF(AZ$4=$E9,"◆","")</f>
        <v/>
      </c>
      <c r="BA9" s="25" t="str">
        <f aca="false">IF(BA$4=$E9,"◆","")</f>
        <v/>
      </c>
      <c r="BB9" s="25" t="str">
        <f aca="false">IF(BB$4=$E9,"◆","")</f>
        <v/>
      </c>
      <c r="BC9" s="25" t="str">
        <f aca="false">IF(BC$4=$E9,"◆","")</f>
        <v/>
      </c>
      <c r="BD9" s="25" t="str">
        <f aca="false">IF(BD$4=$E9,"◆","")</f>
        <v/>
      </c>
      <c r="BE9" s="25" t="str">
        <f aca="false">IF(BE$4=$E9,"◆","")</f>
        <v/>
      </c>
      <c r="BF9" s="25" t="str">
        <f aca="false">IF(BF$4=$E9,"◆","")</f>
        <v/>
      </c>
      <c r="BG9" s="25" t="str">
        <f aca="false">IF(BG$4=$E9,"◆","")</f>
        <v/>
      </c>
      <c r="BH9" s="25" t="str">
        <f aca="false">IF(BH$4=$E9,"◆","")</f>
        <v/>
      </c>
      <c r="BI9" s="25" t="str">
        <f aca="false">IF(BI$4=$E9,"◆","")</f>
        <v/>
      </c>
      <c r="BJ9" s="25" t="str">
        <f aca="false">IF(BJ$4=$E9,"◆","")</f>
        <v/>
      </c>
      <c r="BK9" s="25" t="str">
        <f aca="false">IF(BK$4=$E9,"◆","")</f>
        <v/>
      </c>
      <c r="BL9" s="25" t="str">
        <f aca="false">IF(BL$4=$E9,"◆","")</f>
        <v/>
      </c>
      <c r="BM9" s="25" t="str">
        <f aca="false">IF(BM$4=$E9,"◆","")</f>
        <v/>
      </c>
      <c r="BN9" s="25" t="str">
        <f aca="false">IF(BN$4=$E9,"◆","")</f>
        <v/>
      </c>
      <c r="BO9" s="25" t="str">
        <f aca="false">IF(BO$4=$E9,"◆","")</f>
        <v/>
      </c>
      <c r="BP9" s="25" t="str">
        <f aca="false">IF(BP$4=$E9,"◆","")</f>
        <v/>
      </c>
      <c r="BQ9" s="25" t="str">
        <f aca="false">IF(BQ$4=$E9,"◆","")</f>
        <v/>
      </c>
      <c r="BR9" s="25" t="str">
        <f aca="false">IF(BR$4=$E9,"◆","")</f>
        <v/>
      </c>
      <c r="BS9" s="25" t="str">
        <f aca="false">IF(BS$4=$E9,"◆","")</f>
        <v/>
      </c>
      <c r="BT9" s="25" t="str">
        <f aca="false">IF(BT$4=$E9,"◆","")</f>
        <v/>
      </c>
      <c r="BU9" s="25" t="str">
        <f aca="false">IF(BU$4=$E9,"◆","")</f>
        <v/>
      </c>
      <c r="BV9" s="25" t="str">
        <f aca="false">IF(BV$4=$E9,"◆","")</f>
        <v/>
      </c>
      <c r="BW9" s="25" t="str">
        <f aca="false">IF(BW$4=$E9,"◆","")</f>
        <v/>
      </c>
      <c r="BX9" s="25" t="str">
        <f aca="false">IF(BX$4=$E9,"◆","")</f>
        <v/>
      </c>
      <c r="BY9" s="25" t="str">
        <f aca="false">IF(BY$4=$E9,"◆","")</f>
        <v/>
      </c>
      <c r="BZ9" s="25" t="str">
        <f aca="false">IF(BZ$4=$E9,"◆","")</f>
        <v/>
      </c>
      <c r="CA9" s="25" t="str">
        <f aca="false">IF(CA$4=$E9,"◆","")</f>
        <v/>
      </c>
      <c r="CB9" s="25" t="str">
        <f aca="false">IF(CB$4=$E9,"◆","")</f>
        <v/>
      </c>
      <c r="CC9" s="25" t="str">
        <f aca="false">IF(CC$4=$E9,"◆","")</f>
        <v/>
      </c>
      <c r="CD9" s="25" t="str">
        <f aca="false">IF(CD$4=$E9,"◆","")</f>
        <v/>
      </c>
      <c r="CE9" s="25" t="str">
        <f aca="false">IF(CE$4=$E9,"◆","")</f>
        <v/>
      </c>
      <c r="CF9" s="25" t="str">
        <f aca="false">IF(CF$4=$E9,"◆","")</f>
        <v/>
      </c>
      <c r="CG9" s="25" t="str">
        <f aca="false">IF(CG$4=$E9,"◆","")</f>
        <v/>
      </c>
      <c r="CH9" s="25" t="str">
        <f aca="false">IF(CH$4=$E9,"◆","")</f>
        <v/>
      </c>
      <c r="CI9" s="25" t="str">
        <f aca="false">IF(CI$4=$E9,"◆","")</f>
        <v/>
      </c>
      <c r="CJ9" s="25" t="str">
        <f aca="false">IF(CJ$4=$E9,"◆","")</f>
        <v/>
      </c>
      <c r="CK9" s="25" t="str">
        <f aca="false">IF(CK$4=$E9,"◆","")</f>
        <v/>
      </c>
      <c r="CL9" s="25" t="str">
        <f aca="false">IF(CL$4=$E9,"◆","")</f>
        <v/>
      </c>
      <c r="CM9" s="25" t="str">
        <f aca="false">IF(CM$4=$E9,"◆","")</f>
        <v/>
      </c>
      <c r="CN9" s="25" t="str">
        <f aca="false">IF(CN$4=$E9,"◆","")</f>
        <v/>
      </c>
      <c r="CO9" s="25" t="str">
        <f aca="false">IF(CO$4=$E9,"◆","")</f>
        <v/>
      </c>
      <c r="CP9" s="25" t="str">
        <f aca="false">IF(CP$4=$E9,"◆","")</f>
        <v/>
      </c>
      <c r="CQ9" s="25" t="str">
        <f aca="false">IF(CQ$4=$E9,"◆","")</f>
        <v/>
      </c>
    </row>
    <row r="10" customFormat="false" ht="15.75" hidden="false" customHeight="true" outlineLevel="0" collapsed="false">
      <c r="A10" s="8" t="s">
        <v>32</v>
      </c>
      <c r="B10" s="9" t="s">
        <v>33</v>
      </c>
      <c r="C10" s="9"/>
      <c r="D10" s="10" t="n">
        <f aca="false">IF(OR(E10="",F10=""),"",F10-E10+1)</f>
        <v>14</v>
      </c>
      <c r="E10" s="11" t="n">
        <f aca="false">MIN(E11:E29)</f>
        <v>46310</v>
      </c>
      <c r="F10" s="11" t="n">
        <f aca="false">MAX(F11:F29)</f>
        <v>46323</v>
      </c>
      <c r="G10" s="8" t="str">
        <f aca="false">IF(COUNTIF(G11:G29,"Blocked")&gt;0,"Blocked",IF(COUNTIF(G11:G29,"At Risk")&gt;0,"At Risk",IF(COUNTIF(G11:G29,"Complete")=ROWS(G11:G29),"Complete",IF(COUNTIF(G11:G29,"Not Started")=ROWS(G11:G29),"Not Started","On Track"))))</f>
        <v>On Track</v>
      </c>
      <c r="H10" s="12" t="n">
        <f aca="false">IFERROR(SUMPRODUCT(D11:D29,H11:H29)/SUM(D11:D29),0)</f>
        <v>0.17283950617284</v>
      </c>
      <c r="I10" s="9"/>
      <c r="J10" s="9"/>
      <c r="K10" s="8" t="s">
        <v>14</v>
      </c>
    </row>
    <row r="11" customFormat="false" ht="15.75" hidden="false" customHeight="true" outlineLevel="1" collapsed="false">
      <c r="A11" s="13" t="s">
        <v>34</v>
      </c>
      <c r="B11" s="14" t="s">
        <v>35</v>
      </c>
      <c r="C11" s="15" t="s">
        <v>17</v>
      </c>
      <c r="D11" s="16" t="n">
        <f aca="false">IF(K11="Milestone",0,F11-E11+1)</f>
        <v>2</v>
      </c>
      <c r="E11" s="17" t="n">
        <v>46310</v>
      </c>
      <c r="F11" s="17" t="n">
        <v>46311</v>
      </c>
      <c r="G11" s="13" t="s">
        <v>18</v>
      </c>
      <c r="H11" s="18" t="n">
        <f aca="false">IF(G11="Complete",1,IF(OR(G11="Not Started",K11="Milestone",AsOf&lt;E11),0,MIN(0.9,MAX(0,(AsOf-E11+1)/(F11-E11+1)))))</f>
        <v>1</v>
      </c>
      <c r="I11" s="15" t="s">
        <v>28</v>
      </c>
      <c r="J11" s="15" t="s">
        <v>36</v>
      </c>
      <c r="K11" s="13" t="s">
        <v>2</v>
      </c>
    </row>
    <row r="12" customFormat="false" ht="15.75" hidden="false" customHeight="true" outlineLevel="1" collapsed="false">
      <c r="A12" s="13" t="s">
        <v>37</v>
      </c>
      <c r="B12" s="14" t="s">
        <v>38</v>
      </c>
      <c r="C12" s="15" t="s">
        <v>39</v>
      </c>
      <c r="D12" s="16" t="n">
        <f aca="false">IF(K12="Milestone",0,F12-E12+1)</f>
        <v>4</v>
      </c>
      <c r="E12" s="17" t="n">
        <v>46311</v>
      </c>
      <c r="F12" s="17" t="n">
        <v>46314</v>
      </c>
      <c r="G12" s="13" t="s">
        <v>40</v>
      </c>
      <c r="H12" s="18" t="n">
        <f aca="false">IF(G12="Complete",1,IF(OR(G12="Not Started",K12="Milestone",AsOf&lt;E12),0,MIN(0.9,MAX(0,(AsOf-E12+1)/(F12-E12+1)))))</f>
        <v>0.75</v>
      </c>
      <c r="I12" s="15" t="s">
        <v>34</v>
      </c>
      <c r="J12" s="15" t="s">
        <v>41</v>
      </c>
      <c r="K12" s="13" t="s">
        <v>2</v>
      </c>
    </row>
    <row r="13" customFormat="false" ht="15.75" hidden="false" customHeight="true" outlineLevel="1" collapsed="false">
      <c r="A13" s="13" t="s">
        <v>42</v>
      </c>
      <c r="B13" s="14" t="s">
        <v>43</v>
      </c>
      <c r="C13" s="15" t="s">
        <v>22</v>
      </c>
      <c r="D13" s="16" t="n">
        <f aca="false">IF(K13="Milestone",0,F13-E13+1)</f>
        <v>2</v>
      </c>
      <c r="E13" s="17" t="n">
        <v>46310</v>
      </c>
      <c r="F13" s="17" t="n">
        <v>46311</v>
      </c>
      <c r="G13" s="13" t="s">
        <v>18</v>
      </c>
      <c r="H13" s="18" t="n">
        <f aca="false">IF(G13="Complete",1,IF(OR(G13="Not Started",K13="Milestone",AsOf&lt;E13),0,MIN(0.9,MAX(0,(AsOf-E13+1)/(F13-E13+1)))))</f>
        <v>1</v>
      </c>
      <c r="I13" s="15" t="s">
        <v>28</v>
      </c>
      <c r="J13" s="15" t="s">
        <v>44</v>
      </c>
      <c r="K13" s="13" t="s">
        <v>2</v>
      </c>
    </row>
    <row r="14" customFormat="false" ht="15.75" hidden="false" customHeight="true" outlineLevel="1" collapsed="false">
      <c r="A14" s="13" t="s">
        <v>45</v>
      </c>
      <c r="B14" s="14" t="s">
        <v>46</v>
      </c>
      <c r="C14" s="15" t="s">
        <v>22</v>
      </c>
      <c r="D14" s="16" t="n">
        <f aca="false">IF(K14="Milestone",0,F14-E14+1)</f>
        <v>2</v>
      </c>
      <c r="E14" s="17" t="n">
        <v>46310</v>
      </c>
      <c r="F14" s="17" t="n">
        <v>46311</v>
      </c>
      <c r="G14" s="13" t="s">
        <v>18</v>
      </c>
      <c r="H14" s="18" t="n">
        <f aca="false">IF(G14="Complete",1,IF(OR(G14="Not Started",K14="Milestone",AsOf&lt;E14),0,MIN(0.9,MAX(0,(AsOf-E14+1)/(F14-E14+1)))))</f>
        <v>1</v>
      </c>
      <c r="I14" s="15" t="s">
        <v>28</v>
      </c>
      <c r="J14" s="15" t="s">
        <v>47</v>
      </c>
      <c r="K14" s="13" t="s">
        <v>2</v>
      </c>
    </row>
    <row r="15" customFormat="false" ht="15.75" hidden="false" customHeight="true" outlineLevel="1" collapsed="false">
      <c r="A15" s="13" t="s">
        <v>48</v>
      </c>
      <c r="B15" s="14" t="s">
        <v>49</v>
      </c>
      <c r="C15" s="15" t="s">
        <v>22</v>
      </c>
      <c r="D15" s="16" t="n">
        <f aca="false">IF(K15="Milestone",0,F15-E15+1)</f>
        <v>2</v>
      </c>
      <c r="E15" s="17" t="n">
        <v>46310</v>
      </c>
      <c r="F15" s="17" t="n">
        <v>46311</v>
      </c>
      <c r="G15" s="13" t="s">
        <v>18</v>
      </c>
      <c r="H15" s="18" t="n">
        <f aca="false">IF(G15="Complete",1,IF(OR(G15="Not Started",K15="Milestone",AsOf&lt;E15),0,MIN(0.9,MAX(0,(AsOf-E15+1)/(F15-E15+1)))))</f>
        <v>1</v>
      </c>
      <c r="I15" s="15"/>
      <c r="J15" s="15" t="s">
        <v>50</v>
      </c>
      <c r="K15" s="13" t="s">
        <v>2</v>
      </c>
    </row>
    <row r="16" customFormat="false" ht="15.75" hidden="false" customHeight="true" outlineLevel="1" collapsed="false">
      <c r="A16" s="13" t="s">
        <v>51</v>
      </c>
      <c r="B16" s="14" t="s">
        <v>52</v>
      </c>
      <c r="C16" s="15" t="s">
        <v>22</v>
      </c>
      <c r="D16" s="16" t="n">
        <f aca="false">IF(K16="Milestone",0,F16-E16+1)</f>
        <v>7</v>
      </c>
      <c r="E16" s="17" t="n">
        <v>46311</v>
      </c>
      <c r="F16" s="17" t="n">
        <v>46317</v>
      </c>
      <c r="G16" s="13" t="s">
        <v>40</v>
      </c>
      <c r="H16" s="18" t="n">
        <f aca="false">IF(G16="Complete",1,IF(OR(G16="Not Started",K16="Milestone",AsOf&lt;E16),0,MIN(0.9,MAX(0,(AsOf-E16+1)/(F16-E16+1)))))</f>
        <v>0.428571428571429</v>
      </c>
      <c r="I16" s="15" t="s">
        <v>42</v>
      </c>
      <c r="J16" s="15" t="s">
        <v>53</v>
      </c>
      <c r="K16" s="13" t="s">
        <v>2</v>
      </c>
    </row>
    <row r="17" customFormat="false" ht="15.75" hidden="false" customHeight="true" outlineLevel="1" collapsed="false">
      <c r="A17" s="13" t="s">
        <v>54</v>
      </c>
      <c r="B17" s="14" t="s">
        <v>55</v>
      </c>
      <c r="C17" s="15" t="s">
        <v>56</v>
      </c>
      <c r="D17" s="16" t="n">
        <f aca="false">IF(K17="Milestone",0,F17-E17+1)</f>
        <v>1</v>
      </c>
      <c r="E17" s="17" t="n">
        <v>46315</v>
      </c>
      <c r="F17" s="17" t="n">
        <v>46315</v>
      </c>
      <c r="G17" s="13" t="s">
        <v>57</v>
      </c>
      <c r="H17" s="18" t="n">
        <f aca="false">IF(G17="Complete",1,IF(OR(G17="Not Started",K17="Milestone",AsOf&lt;E17),0,MIN(0.9,MAX(0,(AsOf-E17+1)/(F17-E17+1)))))</f>
        <v>0</v>
      </c>
      <c r="I17" s="15" t="s">
        <v>37</v>
      </c>
      <c r="J17" s="15" t="s">
        <v>58</v>
      </c>
      <c r="K17" s="13" t="s">
        <v>2</v>
      </c>
    </row>
    <row r="18" customFormat="false" ht="15.75" hidden="false" customHeight="true" outlineLevel="1" collapsed="false">
      <c r="A18" s="13" t="s">
        <v>59</v>
      </c>
      <c r="B18" s="14" t="s">
        <v>60</v>
      </c>
      <c r="C18" s="15" t="s">
        <v>22</v>
      </c>
      <c r="D18" s="16" t="n">
        <f aca="false">IF(K18="Milestone",0,F18-E18+1)</f>
        <v>3</v>
      </c>
      <c r="E18" s="17" t="n">
        <v>46314</v>
      </c>
      <c r="F18" s="17" t="n">
        <v>46316</v>
      </c>
      <c r="G18" s="13" t="s">
        <v>57</v>
      </c>
      <c r="H18" s="18" t="n">
        <f aca="false">IF(G18="Complete",1,IF(OR(G18="Not Started",K18="Milestone",AsOf&lt;E18),0,MIN(0.9,MAX(0,(AsOf-E18+1)/(F18-E18+1)))))</f>
        <v>0</v>
      </c>
      <c r="I18" s="15" t="s">
        <v>48</v>
      </c>
      <c r="J18" s="15" t="s">
        <v>61</v>
      </c>
      <c r="K18" s="13" t="s">
        <v>2</v>
      </c>
    </row>
    <row r="19" customFormat="false" ht="15.75" hidden="false" customHeight="true" outlineLevel="1" collapsed="false">
      <c r="A19" s="13" t="s">
        <v>62</v>
      </c>
      <c r="B19" s="14" t="s">
        <v>63</v>
      </c>
      <c r="C19" s="15" t="s">
        <v>22</v>
      </c>
      <c r="D19" s="16" t="n">
        <f aca="false">IF(K19="Milestone",0,F19-E19+1)</f>
        <v>3</v>
      </c>
      <c r="E19" s="17" t="n">
        <v>46314</v>
      </c>
      <c r="F19" s="17" t="n">
        <v>46316</v>
      </c>
      <c r="G19" s="13" t="s">
        <v>57</v>
      </c>
      <c r="H19" s="18" t="n">
        <f aca="false">IF(G19="Complete",1,IF(OR(G19="Not Started",K19="Milestone",AsOf&lt;E19),0,MIN(0.9,MAX(0,(AsOf-E19+1)/(F19-E19+1)))))</f>
        <v>0</v>
      </c>
      <c r="I19" s="15"/>
      <c r="J19" s="15" t="s">
        <v>64</v>
      </c>
      <c r="K19" s="13" t="s">
        <v>2</v>
      </c>
    </row>
    <row r="20" customFormat="false" ht="15.75" hidden="false" customHeight="true" outlineLevel="1" collapsed="false">
      <c r="A20" s="13" t="s">
        <v>65</v>
      </c>
      <c r="B20" s="14" t="s">
        <v>66</v>
      </c>
      <c r="C20" s="15" t="s">
        <v>22</v>
      </c>
      <c r="D20" s="16" t="n">
        <f aca="false">IF(K20="Milestone",0,F20-E20+1)</f>
        <v>5</v>
      </c>
      <c r="E20" s="17" t="n">
        <v>46314</v>
      </c>
      <c r="F20" s="17" t="n">
        <v>46318</v>
      </c>
      <c r="G20" s="13" t="s">
        <v>57</v>
      </c>
      <c r="H20" s="18" t="n">
        <f aca="false">IF(G20="Complete",1,IF(OR(G20="Not Started",K20="Milestone",AsOf&lt;E20),0,MIN(0.9,MAX(0,(AsOf-E20+1)/(F20-E20+1)))))</f>
        <v>0</v>
      </c>
      <c r="I20" s="15" t="s">
        <v>37</v>
      </c>
      <c r="J20" s="15" t="s">
        <v>67</v>
      </c>
      <c r="K20" s="13" t="s">
        <v>2</v>
      </c>
    </row>
    <row r="21" customFormat="false" ht="15.75" hidden="false" customHeight="true" outlineLevel="1" collapsed="false">
      <c r="A21" s="13" t="s">
        <v>68</v>
      </c>
      <c r="B21" s="14" t="s">
        <v>69</v>
      </c>
      <c r="C21" s="15" t="s">
        <v>22</v>
      </c>
      <c r="D21" s="16" t="n">
        <f aca="false">IF(K21="Milestone",0,F21-E21+1)</f>
        <v>10</v>
      </c>
      <c r="E21" s="17" t="n">
        <v>46314</v>
      </c>
      <c r="F21" s="17" t="n">
        <v>46323</v>
      </c>
      <c r="G21" s="13" t="s">
        <v>57</v>
      </c>
      <c r="H21" s="18" t="n">
        <f aca="false">IF(G21="Complete",1,IF(OR(G21="Not Started",K21="Milestone",AsOf&lt;E21),0,MIN(0.9,MAX(0,(AsOf-E21+1)/(F21-E21+1)))))</f>
        <v>0</v>
      </c>
      <c r="I21" s="15"/>
      <c r="J21" s="15" t="s">
        <v>70</v>
      </c>
      <c r="K21" s="13" t="s">
        <v>2</v>
      </c>
    </row>
    <row r="22" customFormat="false" ht="15.75" hidden="false" customHeight="true" outlineLevel="1" collapsed="false">
      <c r="A22" s="13" t="s">
        <v>71</v>
      </c>
      <c r="B22" s="14" t="s">
        <v>72</v>
      </c>
      <c r="C22" s="15" t="s">
        <v>17</v>
      </c>
      <c r="D22" s="16" t="n">
        <f aca="false">IF(K22="Milestone",0,F22-E22+1)</f>
        <v>5</v>
      </c>
      <c r="E22" s="17" t="n">
        <v>46314</v>
      </c>
      <c r="F22" s="17" t="n">
        <v>46318</v>
      </c>
      <c r="G22" s="13" t="s">
        <v>57</v>
      </c>
      <c r="H22" s="18" t="n">
        <f aca="false">IF(G22="Complete",1,IF(OR(G22="Not Started",K22="Milestone",AsOf&lt;E22),0,MIN(0.9,MAX(0,(AsOf-E22+1)/(F22-E22+1)))))</f>
        <v>0</v>
      </c>
      <c r="I22" s="15"/>
      <c r="J22" s="15" t="s">
        <v>73</v>
      </c>
      <c r="K22" s="13" t="s">
        <v>2</v>
      </c>
    </row>
    <row r="23" customFormat="false" ht="15.75" hidden="false" customHeight="true" outlineLevel="1" collapsed="false">
      <c r="A23" s="13" t="s">
        <v>74</v>
      </c>
      <c r="B23" s="14" t="s">
        <v>75</v>
      </c>
      <c r="C23" s="15" t="s">
        <v>17</v>
      </c>
      <c r="D23" s="16" t="n">
        <f aca="false">IF(K23="Milestone",0,F23-E23+1)</f>
        <v>10</v>
      </c>
      <c r="E23" s="17" t="n">
        <v>46314</v>
      </c>
      <c r="F23" s="17" t="n">
        <v>46323</v>
      </c>
      <c r="G23" s="13" t="s">
        <v>57</v>
      </c>
      <c r="H23" s="18" t="n">
        <f aca="false">IF(G23="Complete",1,IF(OR(G23="Not Started",K23="Milestone",AsOf&lt;E23),0,MIN(0.9,MAX(0,(AsOf-E23+1)/(F23-E23+1)))))</f>
        <v>0</v>
      </c>
      <c r="I23" s="15"/>
      <c r="J23" s="15" t="s">
        <v>76</v>
      </c>
      <c r="K23" s="13" t="s">
        <v>2</v>
      </c>
    </row>
    <row r="24" customFormat="false" ht="15.75" hidden="false" customHeight="true" outlineLevel="1" collapsed="false">
      <c r="A24" s="13" t="s">
        <v>77</v>
      </c>
      <c r="B24" s="14" t="s">
        <v>78</v>
      </c>
      <c r="C24" s="15" t="s">
        <v>79</v>
      </c>
      <c r="D24" s="16" t="n">
        <f aca="false">IF(K24="Milestone",0,F24-E24+1)</f>
        <v>5</v>
      </c>
      <c r="E24" s="17" t="n">
        <v>46314</v>
      </c>
      <c r="F24" s="17" t="n">
        <v>46318</v>
      </c>
      <c r="G24" s="13" t="s">
        <v>57</v>
      </c>
      <c r="H24" s="18" t="n">
        <f aca="false">IF(G24="Complete",1,IF(OR(G24="Not Started",K24="Milestone",AsOf&lt;E24),0,MIN(0.9,MAX(0,(AsOf-E24+1)/(F24-E24+1)))))</f>
        <v>0</v>
      </c>
      <c r="I24" s="15"/>
      <c r="J24" s="15" t="s">
        <v>80</v>
      </c>
      <c r="K24" s="13" t="s">
        <v>2</v>
      </c>
    </row>
    <row r="25" customFormat="false" ht="15.75" hidden="false" customHeight="true" outlineLevel="1" collapsed="false">
      <c r="A25" s="13" t="s">
        <v>81</v>
      </c>
      <c r="B25" s="14" t="s">
        <v>82</v>
      </c>
      <c r="C25" s="15" t="s">
        <v>39</v>
      </c>
      <c r="D25" s="16" t="n">
        <f aca="false">IF(K25="Milestone",0,F25-E25+1)</f>
        <v>10</v>
      </c>
      <c r="E25" s="17" t="n">
        <v>46314</v>
      </c>
      <c r="F25" s="17" t="n">
        <v>46323</v>
      </c>
      <c r="G25" s="13" t="s">
        <v>57</v>
      </c>
      <c r="H25" s="18" t="n">
        <f aca="false">IF(G25="Complete",1,IF(OR(G25="Not Started",K25="Milestone",AsOf&lt;E25),0,MIN(0.9,MAX(0,(AsOf-E25+1)/(F25-E25+1)))))</f>
        <v>0</v>
      </c>
      <c r="I25" s="15"/>
      <c r="J25" s="15" t="s">
        <v>83</v>
      </c>
      <c r="K25" s="13" t="s">
        <v>2</v>
      </c>
    </row>
    <row r="26" customFormat="false" ht="15.75" hidden="false" customHeight="true" outlineLevel="1" collapsed="false">
      <c r="A26" s="13" t="s">
        <v>84</v>
      </c>
      <c r="B26" s="14" t="s">
        <v>85</v>
      </c>
      <c r="C26" s="15" t="s">
        <v>86</v>
      </c>
      <c r="D26" s="16" t="n">
        <f aca="false">IF(K26="Milestone",0,F26-E26+1)</f>
        <v>2</v>
      </c>
      <c r="E26" s="17" t="n">
        <v>46314</v>
      </c>
      <c r="F26" s="17" t="n">
        <v>46315</v>
      </c>
      <c r="G26" s="13" t="s">
        <v>57</v>
      </c>
      <c r="H26" s="18" t="n">
        <f aca="false">IF(G26="Complete",1,IF(OR(G26="Not Started",K26="Milestone",AsOf&lt;E26),0,MIN(0.9,MAX(0,(AsOf-E26+1)/(F26-E26+1)))))</f>
        <v>0</v>
      </c>
      <c r="I26" s="15"/>
      <c r="J26" s="15" t="s">
        <v>87</v>
      </c>
      <c r="K26" s="13" t="s">
        <v>2</v>
      </c>
    </row>
    <row r="27" customFormat="false" ht="15.75" hidden="false" customHeight="true" outlineLevel="1" collapsed="false">
      <c r="A27" s="13" t="s">
        <v>88</v>
      </c>
      <c r="B27" s="14" t="s">
        <v>89</v>
      </c>
      <c r="C27" s="15" t="s">
        <v>22</v>
      </c>
      <c r="D27" s="16" t="n">
        <f aca="false">IF(K27="Milestone",0,F27-E27+1)</f>
        <v>3</v>
      </c>
      <c r="E27" s="17" t="n">
        <v>46316</v>
      </c>
      <c r="F27" s="17" t="n">
        <v>46318</v>
      </c>
      <c r="G27" s="13" t="s">
        <v>57</v>
      </c>
      <c r="H27" s="18" t="n">
        <f aca="false">IF(G27="Complete",1,IF(OR(G27="Not Started",K27="Milestone",AsOf&lt;E27),0,MIN(0.9,MAX(0,(AsOf-E27+1)/(F27-E27+1)))))</f>
        <v>0</v>
      </c>
      <c r="I27" s="15" t="s">
        <v>54</v>
      </c>
      <c r="J27" s="15" t="s">
        <v>90</v>
      </c>
      <c r="K27" s="13" t="s">
        <v>2</v>
      </c>
    </row>
    <row r="28" customFormat="false" ht="15.75" hidden="false" customHeight="true" outlineLevel="1" collapsed="false">
      <c r="A28" s="13" t="s">
        <v>91</v>
      </c>
      <c r="B28" s="14" t="s">
        <v>92</v>
      </c>
      <c r="C28" s="15" t="s">
        <v>93</v>
      </c>
      <c r="D28" s="16" t="n">
        <f aca="false">IF(K28="Milestone",0,F28-E28+1)</f>
        <v>5</v>
      </c>
      <c r="E28" s="17" t="n">
        <v>46314</v>
      </c>
      <c r="F28" s="17" t="n">
        <v>46318</v>
      </c>
      <c r="G28" s="13" t="s">
        <v>57</v>
      </c>
      <c r="H28" s="18" t="n">
        <f aca="false">IF(G28="Complete",1,IF(OR(G28="Not Started",K28="Milestone",AsOf&lt;E28),0,MIN(0.9,MAX(0,(AsOf-E28+1)/(F28-E28+1)))))</f>
        <v>0</v>
      </c>
      <c r="I28" s="15"/>
      <c r="J28" s="15" t="s">
        <v>94</v>
      </c>
      <c r="K28" s="13" t="s">
        <v>2</v>
      </c>
    </row>
    <row r="29" customFormat="false" ht="15.75" hidden="false" customHeight="true" outlineLevel="1" collapsed="false">
      <c r="A29" s="19" t="s">
        <v>95</v>
      </c>
      <c r="B29" s="20" t="s">
        <v>96</v>
      </c>
      <c r="C29" s="21" t="s">
        <v>56</v>
      </c>
      <c r="D29" s="22" t="n">
        <f aca="false">IF(K29="Milestone",0,F29-E29+1)</f>
        <v>0</v>
      </c>
      <c r="E29" s="23" t="n">
        <v>46317</v>
      </c>
      <c r="F29" s="23" t="n">
        <v>46317</v>
      </c>
      <c r="G29" s="19" t="s">
        <v>57</v>
      </c>
      <c r="H29" s="24" t="n">
        <f aca="false">IF(G29="Complete",1,IF(OR(G29="Not Started",K29="Milestone",AsOf&lt;E29),0,MIN(0.9,MAX(0,(AsOf-E29+1)/(F29-E29+1)))))</f>
        <v>0</v>
      </c>
      <c r="I29" s="21" t="s">
        <v>97</v>
      </c>
      <c r="J29" s="21" t="s">
        <v>98</v>
      </c>
      <c r="K29" s="19" t="s">
        <v>31</v>
      </c>
      <c r="L29" s="25" t="str">
        <f aca="false">IF(L$4=$E29,"◆","")</f>
        <v/>
      </c>
      <c r="M29" s="25" t="str">
        <f aca="false">IF(M$4=$E29,"◆","")</f>
        <v/>
      </c>
      <c r="N29" s="25" t="str">
        <f aca="false">IF(N$4=$E29,"◆","")</f>
        <v/>
      </c>
      <c r="O29" s="25" t="str">
        <f aca="false">IF(O$4=$E29,"◆","")</f>
        <v/>
      </c>
      <c r="P29" s="25" t="str">
        <f aca="false">IF(P$4=$E29,"◆","")</f>
        <v/>
      </c>
      <c r="Q29" s="25" t="str">
        <f aca="false">IF(Q$4=$E29,"◆","")</f>
        <v/>
      </c>
      <c r="R29" s="25" t="str">
        <f aca="false">IF(R$4=$E29,"◆","")</f>
        <v/>
      </c>
      <c r="S29" s="25" t="str">
        <f aca="false">IF(S$4=$E29,"◆","")</f>
        <v/>
      </c>
      <c r="T29" s="25" t="str">
        <f aca="false">IF(T$4=$E29,"◆","")</f>
        <v/>
      </c>
      <c r="U29" s="25" t="str">
        <f aca="false">IF(U$4=$E29,"◆","")</f>
        <v/>
      </c>
      <c r="V29" s="25" t="str">
        <f aca="false">IF(V$4=$E29,"◆","")</f>
        <v>◆</v>
      </c>
      <c r="W29" s="25" t="str">
        <f aca="false">IF(W$4=$E29,"◆","")</f>
        <v/>
      </c>
      <c r="X29" s="25" t="str">
        <f aca="false">IF(X$4=$E29,"◆","")</f>
        <v/>
      </c>
      <c r="Y29" s="25" t="str">
        <f aca="false">IF(Y$4=$E29,"◆","")</f>
        <v/>
      </c>
      <c r="Z29" s="25" t="str">
        <f aca="false">IF(Z$4=$E29,"◆","")</f>
        <v/>
      </c>
      <c r="AA29" s="25" t="str">
        <f aca="false">IF(AA$4=$E29,"◆","")</f>
        <v/>
      </c>
      <c r="AB29" s="25" t="str">
        <f aca="false">IF(AB$4=$E29,"◆","")</f>
        <v/>
      </c>
      <c r="AC29" s="25" t="str">
        <f aca="false">IF(AC$4=$E29,"◆","")</f>
        <v/>
      </c>
      <c r="AD29" s="25" t="str">
        <f aca="false">IF(AD$4=$E29,"◆","")</f>
        <v/>
      </c>
      <c r="AE29" s="25" t="str">
        <f aca="false">IF(AE$4=$E29,"◆","")</f>
        <v/>
      </c>
      <c r="AF29" s="25" t="str">
        <f aca="false">IF(AF$4=$E29,"◆","")</f>
        <v/>
      </c>
      <c r="AG29" s="25" t="str">
        <f aca="false">IF(AG$4=$E29,"◆","")</f>
        <v/>
      </c>
      <c r="AH29" s="25" t="str">
        <f aca="false">IF(AH$4=$E29,"◆","")</f>
        <v/>
      </c>
      <c r="AI29" s="25" t="str">
        <f aca="false">IF(AI$4=$E29,"◆","")</f>
        <v/>
      </c>
      <c r="AJ29" s="25" t="str">
        <f aca="false">IF(AJ$4=$E29,"◆","")</f>
        <v/>
      </c>
      <c r="AK29" s="25" t="str">
        <f aca="false">IF(AK$4=$E29,"◆","")</f>
        <v/>
      </c>
      <c r="AL29" s="25" t="str">
        <f aca="false">IF(AL$4=$E29,"◆","")</f>
        <v/>
      </c>
      <c r="AM29" s="25" t="str">
        <f aca="false">IF(AM$4=$E29,"◆","")</f>
        <v/>
      </c>
      <c r="AN29" s="25" t="str">
        <f aca="false">IF(AN$4=$E29,"◆","")</f>
        <v/>
      </c>
      <c r="AO29" s="25" t="str">
        <f aca="false">IF(AO$4=$E29,"◆","")</f>
        <v/>
      </c>
      <c r="AP29" s="25" t="str">
        <f aca="false">IF(AP$4=$E29,"◆","")</f>
        <v/>
      </c>
      <c r="AQ29" s="25" t="str">
        <f aca="false">IF(AQ$4=$E29,"◆","")</f>
        <v/>
      </c>
      <c r="AR29" s="25" t="str">
        <f aca="false">IF(AR$4=$E29,"◆","")</f>
        <v/>
      </c>
      <c r="AS29" s="25" t="str">
        <f aca="false">IF(AS$4=$E29,"◆","")</f>
        <v/>
      </c>
      <c r="AT29" s="25" t="str">
        <f aca="false">IF(AT$4=$E29,"◆","")</f>
        <v/>
      </c>
      <c r="AU29" s="25" t="str">
        <f aca="false">IF(AU$4=$E29,"◆","")</f>
        <v/>
      </c>
      <c r="AV29" s="25" t="str">
        <f aca="false">IF(AV$4=$E29,"◆","")</f>
        <v/>
      </c>
      <c r="AW29" s="25" t="str">
        <f aca="false">IF(AW$4=$E29,"◆","")</f>
        <v/>
      </c>
      <c r="AX29" s="25" t="str">
        <f aca="false">IF(AX$4=$E29,"◆","")</f>
        <v/>
      </c>
      <c r="AY29" s="25" t="str">
        <f aca="false">IF(AY$4=$E29,"◆","")</f>
        <v/>
      </c>
      <c r="AZ29" s="25" t="str">
        <f aca="false">IF(AZ$4=$E29,"◆","")</f>
        <v/>
      </c>
      <c r="BA29" s="25" t="str">
        <f aca="false">IF(BA$4=$E29,"◆","")</f>
        <v/>
      </c>
      <c r="BB29" s="25" t="str">
        <f aca="false">IF(BB$4=$E29,"◆","")</f>
        <v/>
      </c>
      <c r="BC29" s="25" t="str">
        <f aca="false">IF(BC$4=$E29,"◆","")</f>
        <v/>
      </c>
      <c r="BD29" s="25" t="str">
        <f aca="false">IF(BD$4=$E29,"◆","")</f>
        <v/>
      </c>
      <c r="BE29" s="25" t="str">
        <f aca="false">IF(BE$4=$E29,"◆","")</f>
        <v/>
      </c>
      <c r="BF29" s="25" t="str">
        <f aca="false">IF(BF$4=$E29,"◆","")</f>
        <v/>
      </c>
      <c r="BG29" s="25" t="str">
        <f aca="false">IF(BG$4=$E29,"◆","")</f>
        <v/>
      </c>
      <c r="BH29" s="25" t="str">
        <f aca="false">IF(BH$4=$E29,"◆","")</f>
        <v/>
      </c>
      <c r="BI29" s="25" t="str">
        <f aca="false">IF(BI$4=$E29,"◆","")</f>
        <v/>
      </c>
      <c r="BJ29" s="25" t="str">
        <f aca="false">IF(BJ$4=$E29,"◆","")</f>
        <v/>
      </c>
      <c r="BK29" s="25" t="str">
        <f aca="false">IF(BK$4=$E29,"◆","")</f>
        <v/>
      </c>
      <c r="BL29" s="25" t="str">
        <f aca="false">IF(BL$4=$E29,"◆","")</f>
        <v/>
      </c>
      <c r="BM29" s="25" t="str">
        <f aca="false">IF(BM$4=$E29,"◆","")</f>
        <v/>
      </c>
      <c r="BN29" s="25" t="str">
        <f aca="false">IF(BN$4=$E29,"◆","")</f>
        <v/>
      </c>
      <c r="BO29" s="25" t="str">
        <f aca="false">IF(BO$4=$E29,"◆","")</f>
        <v/>
      </c>
      <c r="BP29" s="25" t="str">
        <f aca="false">IF(BP$4=$E29,"◆","")</f>
        <v/>
      </c>
      <c r="BQ29" s="25" t="str">
        <f aca="false">IF(BQ$4=$E29,"◆","")</f>
        <v/>
      </c>
      <c r="BR29" s="25" t="str">
        <f aca="false">IF(BR$4=$E29,"◆","")</f>
        <v/>
      </c>
      <c r="BS29" s="25" t="str">
        <f aca="false">IF(BS$4=$E29,"◆","")</f>
        <v/>
      </c>
      <c r="BT29" s="25" t="str">
        <f aca="false">IF(BT$4=$E29,"◆","")</f>
        <v/>
      </c>
      <c r="BU29" s="25" t="str">
        <f aca="false">IF(BU$4=$E29,"◆","")</f>
        <v/>
      </c>
      <c r="BV29" s="25" t="str">
        <f aca="false">IF(BV$4=$E29,"◆","")</f>
        <v/>
      </c>
      <c r="BW29" s="25" t="str">
        <f aca="false">IF(BW$4=$E29,"◆","")</f>
        <v/>
      </c>
      <c r="BX29" s="25" t="str">
        <f aca="false">IF(BX$4=$E29,"◆","")</f>
        <v/>
      </c>
      <c r="BY29" s="25" t="str">
        <f aca="false">IF(BY$4=$E29,"◆","")</f>
        <v/>
      </c>
      <c r="BZ29" s="25" t="str">
        <f aca="false">IF(BZ$4=$E29,"◆","")</f>
        <v/>
      </c>
      <c r="CA29" s="25" t="str">
        <f aca="false">IF(CA$4=$E29,"◆","")</f>
        <v/>
      </c>
      <c r="CB29" s="25" t="str">
        <f aca="false">IF(CB$4=$E29,"◆","")</f>
        <v/>
      </c>
      <c r="CC29" s="25" t="str">
        <f aca="false">IF(CC$4=$E29,"◆","")</f>
        <v/>
      </c>
      <c r="CD29" s="25" t="str">
        <f aca="false">IF(CD$4=$E29,"◆","")</f>
        <v/>
      </c>
      <c r="CE29" s="25" t="str">
        <f aca="false">IF(CE$4=$E29,"◆","")</f>
        <v/>
      </c>
      <c r="CF29" s="25" t="str">
        <f aca="false">IF(CF$4=$E29,"◆","")</f>
        <v/>
      </c>
      <c r="CG29" s="25" t="str">
        <f aca="false">IF(CG$4=$E29,"◆","")</f>
        <v/>
      </c>
      <c r="CH29" s="25" t="str">
        <f aca="false">IF(CH$4=$E29,"◆","")</f>
        <v/>
      </c>
      <c r="CI29" s="25" t="str">
        <f aca="false">IF(CI$4=$E29,"◆","")</f>
        <v/>
      </c>
      <c r="CJ29" s="25" t="str">
        <f aca="false">IF(CJ$4=$E29,"◆","")</f>
        <v/>
      </c>
      <c r="CK29" s="25" t="str">
        <f aca="false">IF(CK$4=$E29,"◆","")</f>
        <v/>
      </c>
      <c r="CL29" s="25" t="str">
        <f aca="false">IF(CL$4=$E29,"◆","")</f>
        <v/>
      </c>
      <c r="CM29" s="25" t="str">
        <f aca="false">IF(CM$4=$E29,"◆","")</f>
        <v/>
      </c>
      <c r="CN29" s="25" t="str">
        <f aca="false">IF(CN$4=$E29,"◆","")</f>
        <v/>
      </c>
      <c r="CO29" s="25" t="str">
        <f aca="false">IF(CO$4=$E29,"◆","")</f>
        <v/>
      </c>
      <c r="CP29" s="25" t="str">
        <f aca="false">IF(CP$4=$E29,"◆","")</f>
        <v/>
      </c>
      <c r="CQ29" s="25" t="str">
        <f aca="false">IF(CQ$4=$E29,"◆","")</f>
        <v/>
      </c>
    </row>
    <row r="30" customFormat="false" ht="15.75" hidden="false" customHeight="true" outlineLevel="0" collapsed="false">
      <c r="A30" s="8" t="s">
        <v>99</v>
      </c>
      <c r="B30" s="9" t="s">
        <v>100</v>
      </c>
      <c r="C30" s="9"/>
      <c r="D30" s="10" t="n">
        <f aca="false">IF(OR(E30="",F30=""),"",F30-E30+1)</f>
        <v>9</v>
      </c>
      <c r="E30" s="11" t="n">
        <f aca="false">MIN(E31:E41)</f>
        <v>46316</v>
      </c>
      <c r="F30" s="11" t="n">
        <f aca="false">MAX(F31:F41)</f>
        <v>46324</v>
      </c>
      <c r="G30" s="8" t="str">
        <f aca="false">IF(COUNTIF(G31:G41,"Blocked")&gt;0,"Blocked",IF(COUNTIF(G31:G41,"At Risk")&gt;0,"At Risk",IF(COUNTIF(G31:G41,"Complete")=ROWS(G31:G41),"Complete",IF(COUNTIF(G31:G41,"Not Started")=ROWS(G31:G41),"Not Started","On Track"))))</f>
        <v>Not Started</v>
      </c>
      <c r="H30" s="12" t="n">
        <f aca="false">IFERROR(SUMPRODUCT(D31:D41,H31:H41)/SUM(D31:D41),0)</f>
        <v>0</v>
      </c>
      <c r="I30" s="9"/>
      <c r="J30" s="9"/>
      <c r="K30" s="8" t="s">
        <v>14</v>
      </c>
    </row>
    <row r="31" customFormat="false" ht="15.75" hidden="false" customHeight="true" outlineLevel="1" collapsed="false">
      <c r="A31" s="13" t="s">
        <v>101</v>
      </c>
      <c r="B31" s="14" t="s">
        <v>102</v>
      </c>
      <c r="C31" s="15" t="s">
        <v>26</v>
      </c>
      <c r="D31" s="16" t="n">
        <f aca="false">IF(K31="Milestone",0,F31-E31+1)</f>
        <v>2</v>
      </c>
      <c r="E31" s="17" t="n">
        <v>46316</v>
      </c>
      <c r="F31" s="17" t="n">
        <v>46317</v>
      </c>
      <c r="G31" s="13" t="s">
        <v>57</v>
      </c>
      <c r="H31" s="18" t="n">
        <f aca="false">IF(G31="Complete",1,IF(OR(G31="Not Started",K31="Milestone",AsOf&lt;E31),0,MIN(0.9,MAX(0,(AsOf-E31+1)/(F31-E31+1)))))</f>
        <v>0</v>
      </c>
      <c r="I31" s="15" t="s">
        <v>103</v>
      </c>
      <c r="J31" s="15" t="s">
        <v>104</v>
      </c>
      <c r="K31" s="13" t="s">
        <v>2</v>
      </c>
    </row>
    <row r="32" customFormat="false" ht="15.75" hidden="false" customHeight="true" outlineLevel="1" collapsed="false">
      <c r="A32" s="13" t="s">
        <v>105</v>
      </c>
      <c r="B32" s="14" t="s">
        <v>106</v>
      </c>
      <c r="C32" s="15" t="s">
        <v>22</v>
      </c>
      <c r="D32" s="16" t="n">
        <f aca="false">IF(K32="Milestone",0,F32-E32+1)</f>
        <v>1</v>
      </c>
      <c r="E32" s="17" t="n">
        <v>46317</v>
      </c>
      <c r="F32" s="17" t="n">
        <v>46317</v>
      </c>
      <c r="G32" s="13" t="s">
        <v>57</v>
      </c>
      <c r="H32" s="18" t="n">
        <f aca="false">IF(G32="Complete",1,IF(OR(G32="Not Started",K32="Milestone",AsOf&lt;E32),0,MIN(0.9,MAX(0,(AsOf-E32+1)/(F32-E32+1)))))</f>
        <v>0</v>
      </c>
      <c r="I32" s="15" t="s">
        <v>107</v>
      </c>
      <c r="J32" s="15" t="s">
        <v>108</v>
      </c>
      <c r="K32" s="13" t="s">
        <v>2</v>
      </c>
    </row>
    <row r="33" customFormat="false" ht="15.75" hidden="false" customHeight="true" outlineLevel="1" collapsed="false">
      <c r="A33" s="13" t="s">
        <v>109</v>
      </c>
      <c r="B33" s="14" t="s">
        <v>110</v>
      </c>
      <c r="C33" s="15" t="s">
        <v>22</v>
      </c>
      <c r="D33" s="16" t="n">
        <f aca="false">IF(K33="Milestone",0,F33-E33+1)</f>
        <v>1</v>
      </c>
      <c r="E33" s="17" t="n">
        <v>46317</v>
      </c>
      <c r="F33" s="17" t="n">
        <v>46317</v>
      </c>
      <c r="G33" s="13" t="s">
        <v>57</v>
      </c>
      <c r="H33" s="18" t="n">
        <f aca="false">IF(G33="Complete",1,IF(OR(G33="Not Started",K33="Milestone",AsOf&lt;E33),0,MIN(0.9,MAX(0,(AsOf-E33+1)/(F33-E33+1)))))</f>
        <v>0</v>
      </c>
      <c r="I33" s="15" t="s">
        <v>105</v>
      </c>
      <c r="J33" s="15" t="s">
        <v>111</v>
      </c>
      <c r="K33" s="13" t="s">
        <v>2</v>
      </c>
    </row>
    <row r="34" customFormat="false" ht="15.75" hidden="false" customHeight="true" outlineLevel="1" collapsed="false">
      <c r="A34" s="13" t="s">
        <v>112</v>
      </c>
      <c r="B34" s="14" t="s">
        <v>113</v>
      </c>
      <c r="C34" s="15" t="s">
        <v>26</v>
      </c>
      <c r="D34" s="16" t="n">
        <f aca="false">IF(K34="Milestone",0,F34-E34+1)</f>
        <v>4</v>
      </c>
      <c r="E34" s="17" t="n">
        <v>46317</v>
      </c>
      <c r="F34" s="17" t="n">
        <v>46320</v>
      </c>
      <c r="G34" s="13" t="s">
        <v>57</v>
      </c>
      <c r="H34" s="18" t="n">
        <f aca="false">IF(G34="Complete",1,IF(OR(G34="Not Started",K34="Milestone",AsOf&lt;E34),0,MIN(0.9,MAX(0,(AsOf-E34+1)/(F34-E34+1)))))</f>
        <v>0</v>
      </c>
      <c r="I34" s="15" t="s">
        <v>114</v>
      </c>
      <c r="J34" s="15" t="s">
        <v>115</v>
      </c>
      <c r="K34" s="13" t="s">
        <v>2</v>
      </c>
    </row>
    <row r="35" customFormat="false" ht="15.75" hidden="false" customHeight="true" outlineLevel="1" collapsed="false">
      <c r="A35" s="13" t="s">
        <v>116</v>
      </c>
      <c r="B35" s="14" t="s">
        <v>117</v>
      </c>
      <c r="C35" s="15" t="s">
        <v>17</v>
      </c>
      <c r="D35" s="16" t="n">
        <f aca="false">IF(K35="Milestone",0,F35-E35+1)</f>
        <v>3</v>
      </c>
      <c r="E35" s="17" t="n">
        <v>46319</v>
      </c>
      <c r="F35" s="17" t="n">
        <v>46321</v>
      </c>
      <c r="G35" s="13" t="s">
        <v>57</v>
      </c>
      <c r="H35" s="18" t="n">
        <f aca="false">IF(G35="Complete",1,IF(OR(G35="Not Started",K35="Milestone",AsOf&lt;E35),0,MIN(0.9,MAX(0,(AsOf-E35+1)/(F35-E35+1)))))</f>
        <v>0</v>
      </c>
      <c r="I35" s="15" t="s">
        <v>118</v>
      </c>
      <c r="J35" s="15" t="s">
        <v>119</v>
      </c>
      <c r="K35" s="13" t="s">
        <v>2</v>
      </c>
    </row>
    <row r="36" customFormat="false" ht="15.75" hidden="false" customHeight="true" outlineLevel="1" collapsed="false">
      <c r="A36" s="13" t="s">
        <v>120</v>
      </c>
      <c r="B36" s="14" t="s">
        <v>121</v>
      </c>
      <c r="C36" s="15" t="s">
        <v>22</v>
      </c>
      <c r="D36" s="16" t="n">
        <f aca="false">IF(K36="Milestone",0,F36-E36+1)</f>
        <v>2</v>
      </c>
      <c r="E36" s="17" t="n">
        <v>46320</v>
      </c>
      <c r="F36" s="17" t="n">
        <v>46321</v>
      </c>
      <c r="G36" s="13" t="s">
        <v>57</v>
      </c>
      <c r="H36" s="18" t="n">
        <f aca="false">IF(G36="Complete",1,IF(OR(G36="Not Started",K36="Milestone",AsOf&lt;E36),0,MIN(0.9,MAX(0,(AsOf-E36+1)/(F36-E36+1)))))</f>
        <v>0</v>
      </c>
      <c r="I36" s="15" t="s">
        <v>112</v>
      </c>
      <c r="J36" s="15" t="s">
        <v>122</v>
      </c>
      <c r="K36" s="13" t="s">
        <v>2</v>
      </c>
    </row>
    <row r="37" customFormat="false" ht="15.75" hidden="false" customHeight="true" outlineLevel="1" collapsed="false">
      <c r="A37" s="13" t="s">
        <v>123</v>
      </c>
      <c r="B37" s="14" t="s">
        <v>124</v>
      </c>
      <c r="C37" s="15" t="s">
        <v>79</v>
      </c>
      <c r="D37" s="16" t="n">
        <f aca="false">IF(K37="Milestone",0,F37-E37+1)</f>
        <v>2</v>
      </c>
      <c r="E37" s="17" t="n">
        <v>46321</v>
      </c>
      <c r="F37" s="17" t="n">
        <v>46322</v>
      </c>
      <c r="G37" s="13" t="s">
        <v>57</v>
      </c>
      <c r="H37" s="18" t="n">
        <f aca="false">IF(G37="Complete",1,IF(OR(G37="Not Started",K37="Milestone",AsOf&lt;E37),0,MIN(0.9,MAX(0,(AsOf-E37+1)/(F37-E37+1)))))</f>
        <v>0</v>
      </c>
      <c r="I37" s="15" t="s">
        <v>120</v>
      </c>
      <c r="J37" s="15" t="s">
        <v>125</v>
      </c>
      <c r="K37" s="13" t="s">
        <v>2</v>
      </c>
    </row>
    <row r="38" customFormat="false" ht="15.75" hidden="false" customHeight="true" outlineLevel="1" collapsed="false">
      <c r="A38" s="13" t="s">
        <v>126</v>
      </c>
      <c r="B38" s="14" t="s">
        <v>127</v>
      </c>
      <c r="C38" s="15" t="s">
        <v>17</v>
      </c>
      <c r="D38" s="16" t="n">
        <f aca="false">IF(K38="Milestone",0,F38-E38+1)</f>
        <v>3</v>
      </c>
      <c r="E38" s="17" t="n">
        <v>46321</v>
      </c>
      <c r="F38" s="17" t="n">
        <v>46323</v>
      </c>
      <c r="G38" s="13" t="s">
        <v>57</v>
      </c>
      <c r="H38" s="18" t="n">
        <f aca="false">IF(G38="Complete",1,IF(OR(G38="Not Started",K38="Milestone",AsOf&lt;E38),0,MIN(0.9,MAX(0,(AsOf-E38+1)/(F38-E38+1)))))</f>
        <v>0</v>
      </c>
      <c r="I38" s="15" t="s">
        <v>116</v>
      </c>
      <c r="J38" s="15" t="s">
        <v>128</v>
      </c>
      <c r="K38" s="13" t="s">
        <v>2</v>
      </c>
    </row>
    <row r="39" customFormat="false" ht="15.75" hidden="false" customHeight="true" outlineLevel="1" collapsed="false">
      <c r="A39" s="13" t="s">
        <v>129</v>
      </c>
      <c r="B39" s="14" t="s">
        <v>130</v>
      </c>
      <c r="C39" s="15" t="s">
        <v>39</v>
      </c>
      <c r="D39" s="16" t="n">
        <f aca="false">IF(K39="Milestone",0,F39-E39+1)</f>
        <v>3</v>
      </c>
      <c r="E39" s="17" t="n">
        <v>46321</v>
      </c>
      <c r="F39" s="17" t="n">
        <v>46323</v>
      </c>
      <c r="G39" s="13" t="s">
        <v>57</v>
      </c>
      <c r="H39" s="18" t="n">
        <f aca="false">IF(G39="Complete",1,IF(OR(G39="Not Started",K39="Milestone",AsOf&lt;E39),0,MIN(0.9,MAX(0,(AsOf-E39+1)/(F39-E39+1)))))</f>
        <v>0</v>
      </c>
      <c r="I39" s="15" t="s">
        <v>120</v>
      </c>
      <c r="J39" s="15" t="s">
        <v>65</v>
      </c>
      <c r="K39" s="13" t="s">
        <v>2</v>
      </c>
    </row>
    <row r="40" customFormat="false" ht="15.75" hidden="false" customHeight="true" outlineLevel="1" collapsed="false">
      <c r="A40" s="13" t="s">
        <v>131</v>
      </c>
      <c r="B40" s="14" t="s">
        <v>132</v>
      </c>
      <c r="C40" s="15" t="s">
        <v>22</v>
      </c>
      <c r="D40" s="16" t="n">
        <f aca="false">IF(K40="Milestone",0,F40-E40+1)</f>
        <v>1</v>
      </c>
      <c r="E40" s="17" t="n">
        <v>46323</v>
      </c>
      <c r="F40" s="17" t="n">
        <v>46323</v>
      </c>
      <c r="G40" s="13" t="s">
        <v>57</v>
      </c>
      <c r="H40" s="18" t="n">
        <f aca="false">IF(G40="Complete",1,IF(OR(G40="Not Started",K40="Milestone",AsOf&lt;E40),0,MIN(0.9,MAX(0,(AsOf-E40+1)/(F40-E40+1)))))</f>
        <v>0</v>
      </c>
      <c r="I40" s="15" t="s">
        <v>112</v>
      </c>
      <c r="J40" s="15" t="s">
        <v>68</v>
      </c>
      <c r="K40" s="13" t="s">
        <v>2</v>
      </c>
    </row>
    <row r="41" customFormat="false" ht="15.75" hidden="false" customHeight="true" outlineLevel="1" collapsed="false">
      <c r="A41" s="19" t="s">
        <v>133</v>
      </c>
      <c r="B41" s="20" t="s">
        <v>134</v>
      </c>
      <c r="C41" s="21" t="s">
        <v>56</v>
      </c>
      <c r="D41" s="22" t="n">
        <f aca="false">IF(K41="Milestone",0,F41-E41+1)</f>
        <v>0</v>
      </c>
      <c r="E41" s="23" t="n">
        <v>46324</v>
      </c>
      <c r="F41" s="23" t="n">
        <v>46324</v>
      </c>
      <c r="G41" s="19" t="s">
        <v>57</v>
      </c>
      <c r="H41" s="24" t="n">
        <f aca="false">IF(G41="Complete",1,IF(OR(G41="Not Started",K41="Milestone",AsOf&lt;E41),0,MIN(0.9,MAX(0,(AsOf-E41+1)/(F41-E41+1)))))</f>
        <v>0</v>
      </c>
      <c r="I41" s="21" t="s">
        <v>135</v>
      </c>
      <c r="J41" s="21" t="s">
        <v>136</v>
      </c>
      <c r="K41" s="19" t="s">
        <v>31</v>
      </c>
      <c r="L41" s="25" t="str">
        <f aca="false">IF(L$4=$E41,"◆","")</f>
        <v/>
      </c>
      <c r="M41" s="25" t="str">
        <f aca="false">IF(M$4=$E41,"◆","")</f>
        <v/>
      </c>
      <c r="N41" s="25" t="str">
        <f aca="false">IF(N$4=$E41,"◆","")</f>
        <v/>
      </c>
      <c r="O41" s="25" t="str">
        <f aca="false">IF(O$4=$E41,"◆","")</f>
        <v/>
      </c>
      <c r="P41" s="25" t="str">
        <f aca="false">IF(P$4=$E41,"◆","")</f>
        <v/>
      </c>
      <c r="Q41" s="25" t="str">
        <f aca="false">IF(Q$4=$E41,"◆","")</f>
        <v/>
      </c>
      <c r="R41" s="25" t="str">
        <f aca="false">IF(R$4=$E41,"◆","")</f>
        <v/>
      </c>
      <c r="S41" s="25" t="str">
        <f aca="false">IF(S$4=$E41,"◆","")</f>
        <v/>
      </c>
      <c r="T41" s="25" t="str">
        <f aca="false">IF(T$4=$E41,"◆","")</f>
        <v/>
      </c>
      <c r="U41" s="25" t="str">
        <f aca="false">IF(U$4=$E41,"◆","")</f>
        <v/>
      </c>
      <c r="V41" s="25" t="str">
        <f aca="false">IF(V$4=$E41,"◆","")</f>
        <v/>
      </c>
      <c r="W41" s="25" t="str">
        <f aca="false">IF(W$4=$E41,"◆","")</f>
        <v/>
      </c>
      <c r="X41" s="25" t="str">
        <f aca="false">IF(X$4=$E41,"◆","")</f>
        <v/>
      </c>
      <c r="Y41" s="25" t="str">
        <f aca="false">IF(Y$4=$E41,"◆","")</f>
        <v/>
      </c>
      <c r="Z41" s="25" t="str">
        <f aca="false">IF(Z$4=$E41,"◆","")</f>
        <v/>
      </c>
      <c r="AA41" s="25" t="str">
        <f aca="false">IF(AA$4=$E41,"◆","")</f>
        <v/>
      </c>
      <c r="AB41" s="25" t="str">
        <f aca="false">IF(AB$4=$E41,"◆","")</f>
        <v/>
      </c>
      <c r="AC41" s="25" t="str">
        <f aca="false">IF(AC$4=$E41,"◆","")</f>
        <v>◆</v>
      </c>
      <c r="AD41" s="25" t="str">
        <f aca="false">IF(AD$4=$E41,"◆","")</f>
        <v/>
      </c>
      <c r="AE41" s="25" t="str">
        <f aca="false">IF(AE$4=$E41,"◆","")</f>
        <v/>
      </c>
      <c r="AF41" s="25" t="str">
        <f aca="false">IF(AF$4=$E41,"◆","")</f>
        <v/>
      </c>
      <c r="AG41" s="25" t="str">
        <f aca="false">IF(AG$4=$E41,"◆","")</f>
        <v/>
      </c>
      <c r="AH41" s="25" t="str">
        <f aca="false">IF(AH$4=$E41,"◆","")</f>
        <v/>
      </c>
      <c r="AI41" s="25" t="str">
        <f aca="false">IF(AI$4=$E41,"◆","")</f>
        <v/>
      </c>
      <c r="AJ41" s="25" t="str">
        <f aca="false">IF(AJ$4=$E41,"◆","")</f>
        <v/>
      </c>
      <c r="AK41" s="25" t="str">
        <f aca="false">IF(AK$4=$E41,"◆","")</f>
        <v/>
      </c>
      <c r="AL41" s="25" t="str">
        <f aca="false">IF(AL$4=$E41,"◆","")</f>
        <v/>
      </c>
      <c r="AM41" s="25" t="str">
        <f aca="false">IF(AM$4=$E41,"◆","")</f>
        <v/>
      </c>
      <c r="AN41" s="25" t="str">
        <f aca="false">IF(AN$4=$E41,"◆","")</f>
        <v/>
      </c>
      <c r="AO41" s="25" t="str">
        <f aca="false">IF(AO$4=$E41,"◆","")</f>
        <v/>
      </c>
      <c r="AP41" s="25" t="str">
        <f aca="false">IF(AP$4=$E41,"◆","")</f>
        <v/>
      </c>
      <c r="AQ41" s="25" t="str">
        <f aca="false">IF(AQ$4=$E41,"◆","")</f>
        <v/>
      </c>
      <c r="AR41" s="25" t="str">
        <f aca="false">IF(AR$4=$E41,"◆","")</f>
        <v/>
      </c>
      <c r="AS41" s="25" t="str">
        <f aca="false">IF(AS$4=$E41,"◆","")</f>
        <v/>
      </c>
      <c r="AT41" s="25" t="str">
        <f aca="false">IF(AT$4=$E41,"◆","")</f>
        <v/>
      </c>
      <c r="AU41" s="25" t="str">
        <f aca="false">IF(AU$4=$E41,"◆","")</f>
        <v/>
      </c>
      <c r="AV41" s="25" t="str">
        <f aca="false">IF(AV$4=$E41,"◆","")</f>
        <v/>
      </c>
      <c r="AW41" s="25" t="str">
        <f aca="false">IF(AW$4=$E41,"◆","")</f>
        <v/>
      </c>
      <c r="AX41" s="25" t="str">
        <f aca="false">IF(AX$4=$E41,"◆","")</f>
        <v/>
      </c>
      <c r="AY41" s="25" t="str">
        <f aca="false">IF(AY$4=$E41,"◆","")</f>
        <v/>
      </c>
      <c r="AZ41" s="25" t="str">
        <f aca="false">IF(AZ$4=$E41,"◆","")</f>
        <v/>
      </c>
      <c r="BA41" s="25" t="str">
        <f aca="false">IF(BA$4=$E41,"◆","")</f>
        <v/>
      </c>
      <c r="BB41" s="25" t="str">
        <f aca="false">IF(BB$4=$E41,"◆","")</f>
        <v/>
      </c>
      <c r="BC41" s="25" t="str">
        <f aca="false">IF(BC$4=$E41,"◆","")</f>
        <v/>
      </c>
      <c r="BD41" s="25" t="str">
        <f aca="false">IF(BD$4=$E41,"◆","")</f>
        <v/>
      </c>
      <c r="BE41" s="25" t="str">
        <f aca="false">IF(BE$4=$E41,"◆","")</f>
        <v/>
      </c>
      <c r="BF41" s="25" t="str">
        <f aca="false">IF(BF$4=$E41,"◆","")</f>
        <v/>
      </c>
      <c r="BG41" s="25" t="str">
        <f aca="false">IF(BG$4=$E41,"◆","")</f>
        <v/>
      </c>
      <c r="BH41" s="25" t="str">
        <f aca="false">IF(BH$4=$E41,"◆","")</f>
        <v/>
      </c>
      <c r="BI41" s="25" t="str">
        <f aca="false">IF(BI$4=$E41,"◆","")</f>
        <v/>
      </c>
      <c r="BJ41" s="25" t="str">
        <f aca="false">IF(BJ$4=$E41,"◆","")</f>
        <v/>
      </c>
      <c r="BK41" s="25" t="str">
        <f aca="false">IF(BK$4=$E41,"◆","")</f>
        <v/>
      </c>
      <c r="BL41" s="25" t="str">
        <f aca="false">IF(BL$4=$E41,"◆","")</f>
        <v/>
      </c>
      <c r="BM41" s="25" t="str">
        <f aca="false">IF(BM$4=$E41,"◆","")</f>
        <v/>
      </c>
      <c r="BN41" s="25" t="str">
        <f aca="false">IF(BN$4=$E41,"◆","")</f>
        <v/>
      </c>
      <c r="BO41" s="25" t="str">
        <f aca="false">IF(BO$4=$E41,"◆","")</f>
        <v/>
      </c>
      <c r="BP41" s="25" t="str">
        <f aca="false">IF(BP$4=$E41,"◆","")</f>
        <v/>
      </c>
      <c r="BQ41" s="25" t="str">
        <f aca="false">IF(BQ$4=$E41,"◆","")</f>
        <v/>
      </c>
      <c r="BR41" s="25" t="str">
        <f aca="false">IF(BR$4=$E41,"◆","")</f>
        <v/>
      </c>
      <c r="BS41" s="25" t="str">
        <f aca="false">IF(BS$4=$E41,"◆","")</f>
        <v/>
      </c>
      <c r="BT41" s="25" t="str">
        <f aca="false">IF(BT$4=$E41,"◆","")</f>
        <v/>
      </c>
      <c r="BU41" s="25" t="str">
        <f aca="false">IF(BU$4=$E41,"◆","")</f>
        <v/>
      </c>
      <c r="BV41" s="25" t="str">
        <f aca="false">IF(BV$4=$E41,"◆","")</f>
        <v/>
      </c>
      <c r="BW41" s="25" t="str">
        <f aca="false">IF(BW$4=$E41,"◆","")</f>
        <v/>
      </c>
      <c r="BX41" s="25" t="str">
        <f aca="false">IF(BX$4=$E41,"◆","")</f>
        <v/>
      </c>
      <c r="BY41" s="25" t="str">
        <f aca="false">IF(BY$4=$E41,"◆","")</f>
        <v/>
      </c>
      <c r="BZ41" s="25" t="str">
        <f aca="false">IF(BZ$4=$E41,"◆","")</f>
        <v/>
      </c>
      <c r="CA41" s="25" t="str">
        <f aca="false">IF(CA$4=$E41,"◆","")</f>
        <v/>
      </c>
      <c r="CB41" s="25" t="str">
        <f aca="false">IF(CB$4=$E41,"◆","")</f>
        <v/>
      </c>
      <c r="CC41" s="25" t="str">
        <f aca="false">IF(CC$4=$E41,"◆","")</f>
        <v/>
      </c>
      <c r="CD41" s="25" t="str">
        <f aca="false">IF(CD$4=$E41,"◆","")</f>
        <v/>
      </c>
      <c r="CE41" s="25" t="str">
        <f aca="false">IF(CE$4=$E41,"◆","")</f>
        <v/>
      </c>
      <c r="CF41" s="25" t="str">
        <f aca="false">IF(CF$4=$E41,"◆","")</f>
        <v/>
      </c>
      <c r="CG41" s="25" t="str">
        <f aca="false">IF(CG$4=$E41,"◆","")</f>
        <v/>
      </c>
      <c r="CH41" s="25" t="str">
        <f aca="false">IF(CH$4=$E41,"◆","")</f>
        <v/>
      </c>
      <c r="CI41" s="25" t="str">
        <f aca="false">IF(CI$4=$E41,"◆","")</f>
        <v/>
      </c>
      <c r="CJ41" s="25" t="str">
        <f aca="false">IF(CJ$4=$E41,"◆","")</f>
        <v/>
      </c>
      <c r="CK41" s="25" t="str">
        <f aca="false">IF(CK$4=$E41,"◆","")</f>
        <v/>
      </c>
      <c r="CL41" s="25" t="str">
        <f aca="false">IF(CL$4=$E41,"◆","")</f>
        <v/>
      </c>
      <c r="CM41" s="25" t="str">
        <f aca="false">IF(CM$4=$E41,"◆","")</f>
        <v/>
      </c>
      <c r="CN41" s="25" t="str">
        <f aca="false">IF(CN$4=$E41,"◆","")</f>
        <v/>
      </c>
      <c r="CO41" s="25" t="str">
        <f aca="false">IF(CO$4=$E41,"◆","")</f>
        <v/>
      </c>
      <c r="CP41" s="25" t="str">
        <f aca="false">IF(CP$4=$E41,"◆","")</f>
        <v/>
      </c>
      <c r="CQ41" s="25" t="str">
        <f aca="false">IF(CQ$4=$E41,"◆","")</f>
        <v/>
      </c>
    </row>
    <row r="42" customFormat="false" ht="15.75" hidden="false" customHeight="true" outlineLevel="0" collapsed="false">
      <c r="A42" s="8" t="s">
        <v>137</v>
      </c>
      <c r="B42" s="9" t="s">
        <v>138</v>
      </c>
      <c r="C42" s="9"/>
      <c r="D42" s="10" t="n">
        <f aca="false">IF(OR(E42="",F42=""),"",F42-E42+1)</f>
        <v>18</v>
      </c>
      <c r="E42" s="11" t="n">
        <f aca="false">MIN(E43:E53)</f>
        <v>46322</v>
      </c>
      <c r="F42" s="11" t="n">
        <f aca="false">MAX(F43:F53)</f>
        <v>46339</v>
      </c>
      <c r="G42" s="8" t="str">
        <f aca="false">IF(COUNTIF(G43:G53,"Blocked")&gt;0,"Blocked",IF(COUNTIF(G43:G53,"At Risk")&gt;0,"At Risk",IF(COUNTIF(G43:G53,"Complete")=ROWS(G43:G53),"Complete",IF(COUNTIF(G43:G53,"Not Started")=ROWS(G43:G53),"Not Started","On Track"))))</f>
        <v>Not Started</v>
      </c>
      <c r="H42" s="12" t="n">
        <f aca="false">IFERROR(SUMPRODUCT(D43:D53,H43:H53)/SUM(D43:D53),0)</f>
        <v>0</v>
      </c>
      <c r="I42" s="9"/>
      <c r="J42" s="9"/>
      <c r="K42" s="8" t="s">
        <v>14</v>
      </c>
    </row>
    <row r="43" customFormat="false" ht="15.75" hidden="false" customHeight="true" outlineLevel="1" collapsed="false">
      <c r="A43" s="13" t="s">
        <v>139</v>
      </c>
      <c r="B43" s="14" t="s">
        <v>140</v>
      </c>
      <c r="C43" s="15" t="s">
        <v>26</v>
      </c>
      <c r="D43" s="16" t="n">
        <f aca="false">IF(K43="Milestone",0,F43-E43+1)</f>
        <v>2</v>
      </c>
      <c r="E43" s="17" t="n">
        <v>46322</v>
      </c>
      <c r="F43" s="17" t="n">
        <v>46323</v>
      </c>
      <c r="G43" s="13" t="s">
        <v>57</v>
      </c>
      <c r="H43" s="18" t="n">
        <f aca="false">IF(G43="Complete",1,IF(OR(G43="Not Started",K43="Milestone",AsOf&lt;E43),0,MIN(0.9,MAX(0,(AsOf-E43+1)/(F43-E43+1)))))</f>
        <v>0</v>
      </c>
      <c r="I43" s="15" t="s">
        <v>59</v>
      </c>
      <c r="J43" s="15" t="s">
        <v>141</v>
      </c>
      <c r="K43" s="13" t="s">
        <v>2</v>
      </c>
    </row>
    <row r="44" customFormat="false" ht="15.75" hidden="false" customHeight="true" outlineLevel="1" collapsed="false">
      <c r="A44" s="13" t="s">
        <v>142</v>
      </c>
      <c r="B44" s="14" t="s">
        <v>143</v>
      </c>
      <c r="C44" s="15" t="s">
        <v>22</v>
      </c>
      <c r="D44" s="16" t="n">
        <f aca="false">IF(K44="Milestone",0,F44-E44+1)</f>
        <v>2</v>
      </c>
      <c r="E44" s="17" t="n">
        <v>46323</v>
      </c>
      <c r="F44" s="17" t="n">
        <v>46324</v>
      </c>
      <c r="G44" s="13" t="s">
        <v>57</v>
      </c>
      <c r="H44" s="18" t="n">
        <f aca="false">IF(G44="Complete",1,IF(OR(G44="Not Started",K44="Milestone",AsOf&lt;E44),0,MIN(0.9,MAX(0,(AsOf-E44+1)/(F44-E44+1)))))</f>
        <v>0</v>
      </c>
      <c r="I44" s="15" t="s">
        <v>139</v>
      </c>
      <c r="J44" s="15" t="s">
        <v>144</v>
      </c>
      <c r="K44" s="13" t="s">
        <v>2</v>
      </c>
    </row>
    <row r="45" customFormat="false" ht="15.75" hidden="false" customHeight="true" outlineLevel="1" collapsed="false">
      <c r="A45" s="13" t="s">
        <v>145</v>
      </c>
      <c r="B45" s="14" t="s">
        <v>146</v>
      </c>
      <c r="C45" s="15" t="s">
        <v>17</v>
      </c>
      <c r="D45" s="16" t="n">
        <f aca="false">IF(K45="Milestone",0,F45-E45+1)</f>
        <v>1</v>
      </c>
      <c r="E45" s="17" t="n">
        <v>46325</v>
      </c>
      <c r="F45" s="17" t="n">
        <v>46325</v>
      </c>
      <c r="G45" s="13" t="s">
        <v>57</v>
      </c>
      <c r="H45" s="18" t="n">
        <f aca="false">IF(G45="Complete",1,IF(OR(G45="Not Started",K45="Milestone",AsOf&lt;E45),0,MIN(0.9,MAX(0,(AsOf-E45+1)/(F45-E45+1)))))</f>
        <v>0</v>
      </c>
      <c r="I45" s="15" t="s">
        <v>88</v>
      </c>
      <c r="J45" s="15" t="s">
        <v>147</v>
      </c>
      <c r="K45" s="13" t="s">
        <v>2</v>
      </c>
    </row>
    <row r="46" customFormat="false" ht="15.75" hidden="false" customHeight="true" outlineLevel="1" collapsed="false">
      <c r="A46" s="13" t="s">
        <v>148</v>
      </c>
      <c r="B46" s="14" t="s">
        <v>149</v>
      </c>
      <c r="C46" s="15" t="s">
        <v>26</v>
      </c>
      <c r="D46" s="16" t="n">
        <f aca="false">IF(K46="Milestone",0,F46-E46+1)</f>
        <v>3</v>
      </c>
      <c r="E46" s="17" t="n">
        <v>46325</v>
      </c>
      <c r="F46" s="17" t="n">
        <v>46327</v>
      </c>
      <c r="G46" s="13" t="s">
        <v>57</v>
      </c>
      <c r="H46" s="18" t="n">
        <f aca="false">IF(G46="Complete",1,IF(OR(G46="Not Started",K46="Milestone",AsOf&lt;E46),0,MIN(0.9,MAX(0,(AsOf-E46+1)/(F46-E46+1)))))</f>
        <v>0</v>
      </c>
      <c r="I46" s="15" t="s">
        <v>133</v>
      </c>
      <c r="J46" s="15" t="s">
        <v>150</v>
      </c>
      <c r="K46" s="13" t="s">
        <v>2</v>
      </c>
    </row>
    <row r="47" customFormat="false" ht="15.75" hidden="false" customHeight="true" outlineLevel="1" collapsed="false">
      <c r="A47" s="13" t="s">
        <v>151</v>
      </c>
      <c r="B47" s="14" t="s">
        <v>117</v>
      </c>
      <c r="C47" s="15" t="s">
        <v>17</v>
      </c>
      <c r="D47" s="16" t="n">
        <f aca="false">IF(K47="Milestone",0,F47-E47+1)</f>
        <v>3</v>
      </c>
      <c r="E47" s="17" t="n">
        <v>46326</v>
      </c>
      <c r="F47" s="17" t="n">
        <v>46328</v>
      </c>
      <c r="G47" s="13" t="s">
        <v>57</v>
      </c>
      <c r="H47" s="18" t="n">
        <f aca="false">IF(G47="Complete",1,IF(OR(G47="Not Started",K47="Milestone",AsOf&lt;E47),0,MIN(0.9,MAX(0,(AsOf-E47+1)/(F47-E47+1)))))</f>
        <v>0</v>
      </c>
      <c r="I47" s="15" t="s">
        <v>152</v>
      </c>
      <c r="J47" s="15" t="s">
        <v>153</v>
      </c>
      <c r="K47" s="13" t="s">
        <v>2</v>
      </c>
    </row>
    <row r="48" customFormat="false" ht="15.75" hidden="false" customHeight="true" outlineLevel="1" collapsed="false">
      <c r="A48" s="13" t="s">
        <v>154</v>
      </c>
      <c r="B48" s="14" t="s">
        <v>155</v>
      </c>
      <c r="C48" s="15" t="s">
        <v>22</v>
      </c>
      <c r="D48" s="16" t="n">
        <f aca="false">IF(K48="Milestone",0,F48-E48+1)</f>
        <v>2</v>
      </c>
      <c r="E48" s="17" t="n">
        <v>46327</v>
      </c>
      <c r="F48" s="17" t="n">
        <v>46328</v>
      </c>
      <c r="G48" s="13" t="s">
        <v>57</v>
      </c>
      <c r="H48" s="18" t="n">
        <f aca="false">IF(G48="Complete",1,IF(OR(G48="Not Started",K48="Milestone",AsOf&lt;E48),0,MIN(0.9,MAX(0,(AsOf-E48+1)/(F48-E48+1)))))</f>
        <v>0</v>
      </c>
      <c r="I48" s="15" t="s">
        <v>148</v>
      </c>
      <c r="J48" s="15" t="s">
        <v>156</v>
      </c>
      <c r="K48" s="13" t="s">
        <v>2</v>
      </c>
    </row>
    <row r="49" customFormat="false" ht="15.75" hidden="false" customHeight="true" outlineLevel="1" collapsed="false">
      <c r="A49" s="13" t="s">
        <v>157</v>
      </c>
      <c r="B49" s="14" t="s">
        <v>158</v>
      </c>
      <c r="C49" s="15" t="s">
        <v>79</v>
      </c>
      <c r="D49" s="16" t="n">
        <f aca="false">IF(K49="Milestone",0,F49-E49+1)</f>
        <v>2</v>
      </c>
      <c r="E49" s="17" t="n">
        <v>46328</v>
      </c>
      <c r="F49" s="17" t="n">
        <v>46329</v>
      </c>
      <c r="G49" s="13" t="s">
        <v>57</v>
      </c>
      <c r="H49" s="18" t="n">
        <f aca="false">IF(G49="Complete",1,IF(OR(G49="Not Started",K49="Milestone",AsOf&lt;E49),0,MIN(0.9,MAX(0,(AsOf-E49+1)/(F49-E49+1)))))</f>
        <v>0</v>
      </c>
      <c r="I49" s="15" t="s">
        <v>154</v>
      </c>
      <c r="J49" s="15" t="s">
        <v>159</v>
      </c>
      <c r="K49" s="13" t="s">
        <v>2</v>
      </c>
    </row>
    <row r="50" customFormat="false" ht="15.75" hidden="false" customHeight="true" outlineLevel="1" collapsed="false">
      <c r="A50" s="13" t="s">
        <v>160</v>
      </c>
      <c r="B50" s="14" t="s">
        <v>161</v>
      </c>
      <c r="C50" s="15" t="s">
        <v>17</v>
      </c>
      <c r="D50" s="16" t="n">
        <f aca="false">IF(K50="Milestone",0,F50-E50+1)</f>
        <v>3</v>
      </c>
      <c r="E50" s="17" t="n">
        <v>46328</v>
      </c>
      <c r="F50" s="17" t="n">
        <v>46330</v>
      </c>
      <c r="G50" s="13" t="s">
        <v>57</v>
      </c>
      <c r="H50" s="18" t="n">
        <f aca="false">IF(G50="Complete",1,IF(OR(G50="Not Started",K50="Milestone",AsOf&lt;E50),0,MIN(0.9,MAX(0,(AsOf-E50+1)/(F50-E50+1)))))</f>
        <v>0</v>
      </c>
      <c r="I50" s="15" t="s">
        <v>151</v>
      </c>
      <c r="J50" s="15" t="s">
        <v>162</v>
      </c>
      <c r="K50" s="13" t="s">
        <v>2</v>
      </c>
    </row>
    <row r="51" customFormat="false" ht="15.75" hidden="false" customHeight="true" outlineLevel="1" collapsed="false">
      <c r="A51" s="13" t="s">
        <v>163</v>
      </c>
      <c r="B51" s="14" t="s">
        <v>164</v>
      </c>
      <c r="C51" s="15" t="s">
        <v>39</v>
      </c>
      <c r="D51" s="16" t="n">
        <f aca="false">IF(K51="Milestone",0,F51-E51+1)</f>
        <v>2</v>
      </c>
      <c r="E51" s="17" t="n">
        <v>46329</v>
      </c>
      <c r="F51" s="17" t="n">
        <v>46330</v>
      </c>
      <c r="G51" s="13" t="s">
        <v>57</v>
      </c>
      <c r="H51" s="18" t="n">
        <f aca="false">IF(G51="Complete",1,IF(OR(G51="Not Started",K51="Milestone",AsOf&lt;E51),0,MIN(0.9,MAX(0,(AsOf-E51+1)/(F51-E51+1)))))</f>
        <v>0</v>
      </c>
      <c r="I51" s="15" t="s">
        <v>154</v>
      </c>
      <c r="J51" s="15" t="s">
        <v>165</v>
      </c>
      <c r="K51" s="13" t="s">
        <v>2</v>
      </c>
    </row>
    <row r="52" customFormat="false" ht="15.75" hidden="false" customHeight="true" outlineLevel="1" collapsed="false">
      <c r="A52" s="13" t="s">
        <v>166</v>
      </c>
      <c r="B52" s="14" t="s">
        <v>167</v>
      </c>
      <c r="C52" s="15" t="s">
        <v>17</v>
      </c>
      <c r="D52" s="16" t="n">
        <f aca="false">IF(K52="Milestone",0,F52-E52+1)</f>
        <v>15</v>
      </c>
      <c r="E52" s="17" t="n">
        <v>46325</v>
      </c>
      <c r="F52" s="17" t="n">
        <v>46339</v>
      </c>
      <c r="G52" s="13" t="s">
        <v>57</v>
      </c>
      <c r="H52" s="18" t="n">
        <f aca="false">IF(G52="Complete",1,IF(OR(G52="Not Started",K52="Milestone",AsOf&lt;E52),0,MIN(0.9,MAX(0,(AsOf-E52+1)/(F52-E52+1)))))</f>
        <v>0</v>
      </c>
      <c r="I52" s="15" t="s">
        <v>142</v>
      </c>
      <c r="J52" s="15" t="s">
        <v>131</v>
      </c>
      <c r="K52" s="13" t="s">
        <v>2</v>
      </c>
    </row>
    <row r="53" customFormat="false" ht="15.75" hidden="false" customHeight="true" outlineLevel="1" collapsed="false">
      <c r="A53" s="19" t="s">
        <v>168</v>
      </c>
      <c r="B53" s="20" t="s">
        <v>169</v>
      </c>
      <c r="C53" s="21" t="s">
        <v>56</v>
      </c>
      <c r="D53" s="22" t="n">
        <f aca="false">IF(K53="Milestone",0,F53-E53+1)</f>
        <v>0</v>
      </c>
      <c r="E53" s="23" t="n">
        <v>46330</v>
      </c>
      <c r="F53" s="23" t="n">
        <v>46330</v>
      </c>
      <c r="G53" s="19" t="s">
        <v>57</v>
      </c>
      <c r="H53" s="24" t="n">
        <f aca="false">IF(G53="Complete",1,IF(OR(G53="Not Started",K53="Milestone",AsOf&lt;E53),0,MIN(0.9,MAX(0,(AsOf-E53+1)/(F53-E53+1)))))</f>
        <v>0</v>
      </c>
      <c r="I53" s="21" t="s">
        <v>170</v>
      </c>
      <c r="J53" s="21" t="s">
        <v>171</v>
      </c>
      <c r="K53" s="19" t="s">
        <v>31</v>
      </c>
      <c r="L53" s="25" t="str">
        <f aca="false">IF(L$4=$E53,"◆","")</f>
        <v/>
      </c>
      <c r="M53" s="25" t="str">
        <f aca="false">IF(M$4=$E53,"◆","")</f>
        <v/>
      </c>
      <c r="N53" s="25" t="str">
        <f aca="false">IF(N$4=$E53,"◆","")</f>
        <v/>
      </c>
      <c r="O53" s="25" t="str">
        <f aca="false">IF(O$4=$E53,"◆","")</f>
        <v/>
      </c>
      <c r="P53" s="25" t="str">
        <f aca="false">IF(P$4=$E53,"◆","")</f>
        <v/>
      </c>
      <c r="Q53" s="25" t="str">
        <f aca="false">IF(Q$4=$E53,"◆","")</f>
        <v/>
      </c>
      <c r="R53" s="25" t="str">
        <f aca="false">IF(R$4=$E53,"◆","")</f>
        <v/>
      </c>
      <c r="S53" s="25" t="str">
        <f aca="false">IF(S$4=$E53,"◆","")</f>
        <v/>
      </c>
      <c r="T53" s="25" t="str">
        <f aca="false">IF(T$4=$E53,"◆","")</f>
        <v/>
      </c>
      <c r="U53" s="25" t="str">
        <f aca="false">IF(U$4=$E53,"◆","")</f>
        <v/>
      </c>
      <c r="V53" s="25" t="str">
        <f aca="false">IF(V$4=$E53,"◆","")</f>
        <v/>
      </c>
      <c r="W53" s="25" t="str">
        <f aca="false">IF(W$4=$E53,"◆","")</f>
        <v/>
      </c>
      <c r="X53" s="25" t="str">
        <f aca="false">IF(X$4=$E53,"◆","")</f>
        <v/>
      </c>
      <c r="Y53" s="25" t="str">
        <f aca="false">IF(Y$4=$E53,"◆","")</f>
        <v/>
      </c>
      <c r="Z53" s="25" t="str">
        <f aca="false">IF(Z$4=$E53,"◆","")</f>
        <v/>
      </c>
      <c r="AA53" s="25" t="str">
        <f aca="false">IF(AA$4=$E53,"◆","")</f>
        <v/>
      </c>
      <c r="AB53" s="25" t="str">
        <f aca="false">IF(AB$4=$E53,"◆","")</f>
        <v/>
      </c>
      <c r="AC53" s="25" t="str">
        <f aca="false">IF(AC$4=$E53,"◆","")</f>
        <v/>
      </c>
      <c r="AD53" s="25" t="str">
        <f aca="false">IF(AD$4=$E53,"◆","")</f>
        <v/>
      </c>
      <c r="AE53" s="25" t="str">
        <f aca="false">IF(AE$4=$E53,"◆","")</f>
        <v/>
      </c>
      <c r="AF53" s="25" t="str">
        <f aca="false">IF(AF$4=$E53,"◆","")</f>
        <v/>
      </c>
      <c r="AG53" s="25" t="str">
        <f aca="false">IF(AG$4=$E53,"◆","")</f>
        <v/>
      </c>
      <c r="AH53" s="25" t="str">
        <f aca="false">IF(AH$4=$E53,"◆","")</f>
        <v/>
      </c>
      <c r="AI53" s="25" t="str">
        <f aca="false">IF(AI$4=$E53,"◆","")</f>
        <v>◆</v>
      </c>
      <c r="AJ53" s="25" t="str">
        <f aca="false">IF(AJ$4=$E53,"◆","")</f>
        <v/>
      </c>
      <c r="AK53" s="25" t="str">
        <f aca="false">IF(AK$4=$E53,"◆","")</f>
        <v/>
      </c>
      <c r="AL53" s="25" t="str">
        <f aca="false">IF(AL$4=$E53,"◆","")</f>
        <v/>
      </c>
      <c r="AM53" s="25" t="str">
        <f aca="false">IF(AM$4=$E53,"◆","")</f>
        <v/>
      </c>
      <c r="AN53" s="25" t="str">
        <f aca="false">IF(AN$4=$E53,"◆","")</f>
        <v/>
      </c>
      <c r="AO53" s="25" t="str">
        <f aca="false">IF(AO$4=$E53,"◆","")</f>
        <v/>
      </c>
      <c r="AP53" s="25" t="str">
        <f aca="false">IF(AP$4=$E53,"◆","")</f>
        <v/>
      </c>
      <c r="AQ53" s="25" t="str">
        <f aca="false">IF(AQ$4=$E53,"◆","")</f>
        <v/>
      </c>
      <c r="AR53" s="25" t="str">
        <f aca="false">IF(AR$4=$E53,"◆","")</f>
        <v/>
      </c>
      <c r="AS53" s="25" t="str">
        <f aca="false">IF(AS$4=$E53,"◆","")</f>
        <v/>
      </c>
      <c r="AT53" s="25" t="str">
        <f aca="false">IF(AT$4=$E53,"◆","")</f>
        <v/>
      </c>
      <c r="AU53" s="25" t="str">
        <f aca="false">IF(AU$4=$E53,"◆","")</f>
        <v/>
      </c>
      <c r="AV53" s="25" t="str">
        <f aca="false">IF(AV$4=$E53,"◆","")</f>
        <v/>
      </c>
      <c r="AW53" s="25" t="str">
        <f aca="false">IF(AW$4=$E53,"◆","")</f>
        <v/>
      </c>
      <c r="AX53" s="25" t="str">
        <f aca="false">IF(AX$4=$E53,"◆","")</f>
        <v/>
      </c>
      <c r="AY53" s="25" t="str">
        <f aca="false">IF(AY$4=$E53,"◆","")</f>
        <v/>
      </c>
      <c r="AZ53" s="25" t="str">
        <f aca="false">IF(AZ$4=$E53,"◆","")</f>
        <v/>
      </c>
      <c r="BA53" s="25" t="str">
        <f aca="false">IF(BA$4=$E53,"◆","")</f>
        <v/>
      </c>
      <c r="BB53" s="25" t="str">
        <f aca="false">IF(BB$4=$E53,"◆","")</f>
        <v/>
      </c>
      <c r="BC53" s="25" t="str">
        <f aca="false">IF(BC$4=$E53,"◆","")</f>
        <v/>
      </c>
      <c r="BD53" s="25" t="str">
        <f aca="false">IF(BD$4=$E53,"◆","")</f>
        <v/>
      </c>
      <c r="BE53" s="25" t="str">
        <f aca="false">IF(BE$4=$E53,"◆","")</f>
        <v/>
      </c>
      <c r="BF53" s="25" t="str">
        <f aca="false">IF(BF$4=$E53,"◆","")</f>
        <v/>
      </c>
      <c r="BG53" s="25" t="str">
        <f aca="false">IF(BG$4=$E53,"◆","")</f>
        <v/>
      </c>
      <c r="BH53" s="25" t="str">
        <f aca="false">IF(BH$4=$E53,"◆","")</f>
        <v/>
      </c>
      <c r="BI53" s="25" t="str">
        <f aca="false">IF(BI$4=$E53,"◆","")</f>
        <v/>
      </c>
      <c r="BJ53" s="25" t="str">
        <f aca="false">IF(BJ$4=$E53,"◆","")</f>
        <v/>
      </c>
      <c r="BK53" s="25" t="str">
        <f aca="false">IF(BK$4=$E53,"◆","")</f>
        <v/>
      </c>
      <c r="BL53" s="25" t="str">
        <f aca="false">IF(BL$4=$E53,"◆","")</f>
        <v/>
      </c>
      <c r="BM53" s="25" t="str">
        <f aca="false">IF(BM$4=$E53,"◆","")</f>
        <v/>
      </c>
      <c r="BN53" s="25" t="str">
        <f aca="false">IF(BN$4=$E53,"◆","")</f>
        <v/>
      </c>
      <c r="BO53" s="25" t="str">
        <f aca="false">IF(BO$4=$E53,"◆","")</f>
        <v/>
      </c>
      <c r="BP53" s="25" t="str">
        <f aca="false">IF(BP$4=$E53,"◆","")</f>
        <v/>
      </c>
      <c r="BQ53" s="25" t="str">
        <f aca="false">IF(BQ$4=$E53,"◆","")</f>
        <v/>
      </c>
      <c r="BR53" s="25" t="str">
        <f aca="false">IF(BR$4=$E53,"◆","")</f>
        <v/>
      </c>
      <c r="BS53" s="25" t="str">
        <f aca="false">IF(BS$4=$E53,"◆","")</f>
        <v/>
      </c>
      <c r="BT53" s="25" t="str">
        <f aca="false">IF(BT$4=$E53,"◆","")</f>
        <v/>
      </c>
      <c r="BU53" s="25" t="str">
        <f aca="false">IF(BU$4=$E53,"◆","")</f>
        <v/>
      </c>
      <c r="BV53" s="25" t="str">
        <f aca="false">IF(BV$4=$E53,"◆","")</f>
        <v/>
      </c>
      <c r="BW53" s="25" t="str">
        <f aca="false">IF(BW$4=$E53,"◆","")</f>
        <v/>
      </c>
      <c r="BX53" s="25" t="str">
        <f aca="false">IF(BX$4=$E53,"◆","")</f>
        <v/>
      </c>
      <c r="BY53" s="25" t="str">
        <f aca="false">IF(BY$4=$E53,"◆","")</f>
        <v/>
      </c>
      <c r="BZ53" s="25" t="str">
        <f aca="false">IF(BZ$4=$E53,"◆","")</f>
        <v/>
      </c>
      <c r="CA53" s="25" t="str">
        <f aca="false">IF(CA$4=$E53,"◆","")</f>
        <v/>
      </c>
      <c r="CB53" s="25" t="str">
        <f aca="false">IF(CB$4=$E53,"◆","")</f>
        <v/>
      </c>
      <c r="CC53" s="25" t="str">
        <f aca="false">IF(CC$4=$E53,"◆","")</f>
        <v/>
      </c>
      <c r="CD53" s="25" t="str">
        <f aca="false">IF(CD$4=$E53,"◆","")</f>
        <v/>
      </c>
      <c r="CE53" s="25" t="str">
        <f aca="false">IF(CE$4=$E53,"◆","")</f>
        <v/>
      </c>
      <c r="CF53" s="25" t="str">
        <f aca="false">IF(CF$4=$E53,"◆","")</f>
        <v/>
      </c>
      <c r="CG53" s="25" t="str">
        <f aca="false">IF(CG$4=$E53,"◆","")</f>
        <v/>
      </c>
      <c r="CH53" s="25" t="str">
        <f aca="false">IF(CH$4=$E53,"◆","")</f>
        <v/>
      </c>
      <c r="CI53" s="25" t="str">
        <f aca="false">IF(CI$4=$E53,"◆","")</f>
        <v/>
      </c>
      <c r="CJ53" s="25" t="str">
        <f aca="false">IF(CJ$4=$E53,"◆","")</f>
        <v/>
      </c>
      <c r="CK53" s="25" t="str">
        <f aca="false">IF(CK$4=$E53,"◆","")</f>
        <v/>
      </c>
      <c r="CL53" s="25" t="str">
        <f aca="false">IF(CL$4=$E53,"◆","")</f>
        <v/>
      </c>
      <c r="CM53" s="25" t="str">
        <f aca="false">IF(CM$4=$E53,"◆","")</f>
        <v/>
      </c>
      <c r="CN53" s="25" t="str">
        <f aca="false">IF(CN$4=$E53,"◆","")</f>
        <v/>
      </c>
      <c r="CO53" s="25" t="str">
        <f aca="false">IF(CO$4=$E53,"◆","")</f>
        <v/>
      </c>
      <c r="CP53" s="25" t="str">
        <f aca="false">IF(CP$4=$E53,"◆","")</f>
        <v/>
      </c>
      <c r="CQ53" s="25" t="str">
        <f aca="false">IF(CQ$4=$E53,"◆","")</f>
        <v/>
      </c>
    </row>
    <row r="54" customFormat="false" ht="15.75" hidden="false" customHeight="true" outlineLevel="0" collapsed="false">
      <c r="A54" s="8" t="s">
        <v>172</v>
      </c>
      <c r="B54" s="9" t="s">
        <v>173</v>
      </c>
      <c r="C54" s="9"/>
      <c r="D54" s="10" t="n">
        <f aca="false">IF(OR(E54="",F54=""),"",F54-E54+1)</f>
        <v>9</v>
      </c>
      <c r="E54" s="11" t="n">
        <f aca="false">MIN(E55:E67)</f>
        <v>46330</v>
      </c>
      <c r="F54" s="11" t="n">
        <f aca="false">MAX(F55:F67)</f>
        <v>46338</v>
      </c>
      <c r="G54" s="8" t="str">
        <f aca="false">IF(COUNTIF(G55:G67,"Blocked")&gt;0,"Blocked",IF(COUNTIF(G55:G67,"At Risk")&gt;0,"At Risk",IF(COUNTIF(G55:G67,"Complete")=ROWS(G55:G67),"Complete",IF(COUNTIF(G55:G67,"Not Started")=ROWS(G55:G67),"Not Started","On Track"))))</f>
        <v>Not Started</v>
      </c>
      <c r="H54" s="12" t="n">
        <f aca="false">IFERROR(SUMPRODUCT(D55:D67,H55:H67)/SUM(D55:D67),0)</f>
        <v>0</v>
      </c>
      <c r="I54" s="9"/>
      <c r="J54" s="9"/>
      <c r="K54" s="8" t="s">
        <v>14</v>
      </c>
    </row>
    <row r="55" customFormat="false" ht="15.75" hidden="false" customHeight="true" outlineLevel="1" collapsed="false">
      <c r="A55" s="13" t="s">
        <v>174</v>
      </c>
      <c r="B55" s="14" t="s">
        <v>175</v>
      </c>
      <c r="C55" s="15" t="s">
        <v>26</v>
      </c>
      <c r="D55" s="16" t="n">
        <f aca="false">IF(K55="Milestone",0,F55-E55+1)</f>
        <v>2</v>
      </c>
      <c r="E55" s="17" t="n">
        <v>46330</v>
      </c>
      <c r="F55" s="17" t="n">
        <v>46331</v>
      </c>
      <c r="G55" s="13" t="s">
        <v>57</v>
      </c>
      <c r="H55" s="18" t="n">
        <f aca="false">IF(G55="Complete",1,IF(OR(G55="Not Started",K55="Milestone",AsOf&lt;E55),0,MIN(0.9,MAX(0,(AsOf-E55+1)/(F55-E55+1)))))</f>
        <v>0</v>
      </c>
      <c r="I55" s="15" t="s">
        <v>59</v>
      </c>
      <c r="J55" s="15" t="s">
        <v>176</v>
      </c>
      <c r="K55" s="13" t="s">
        <v>2</v>
      </c>
    </row>
    <row r="56" customFormat="false" ht="15.75" hidden="false" customHeight="true" outlineLevel="1" collapsed="false">
      <c r="A56" s="13" t="s">
        <v>177</v>
      </c>
      <c r="B56" s="14" t="s">
        <v>178</v>
      </c>
      <c r="C56" s="15" t="s">
        <v>22</v>
      </c>
      <c r="D56" s="16" t="n">
        <f aca="false">IF(K56="Milestone",0,F56-E56+1)</f>
        <v>2</v>
      </c>
      <c r="E56" s="17" t="n">
        <v>46331</v>
      </c>
      <c r="F56" s="17" t="n">
        <v>46332</v>
      </c>
      <c r="G56" s="13" t="s">
        <v>57</v>
      </c>
      <c r="H56" s="18" t="n">
        <f aca="false">IF(G56="Complete",1,IF(OR(G56="Not Started",K56="Milestone",AsOf&lt;E56),0,MIN(0.9,MAX(0,(AsOf-E56+1)/(F56-E56+1)))))</f>
        <v>0</v>
      </c>
      <c r="I56" s="15" t="s">
        <v>174</v>
      </c>
      <c r="J56" s="15" t="s">
        <v>179</v>
      </c>
      <c r="K56" s="13" t="s">
        <v>2</v>
      </c>
    </row>
    <row r="57" customFormat="false" ht="15.75" hidden="false" customHeight="true" outlineLevel="1" collapsed="false">
      <c r="A57" s="13" t="s">
        <v>180</v>
      </c>
      <c r="B57" s="14" t="s">
        <v>181</v>
      </c>
      <c r="C57" s="15" t="s">
        <v>93</v>
      </c>
      <c r="D57" s="16" t="n">
        <f aca="false">IF(K57="Milestone",0,F57-E57+1)</f>
        <v>1</v>
      </c>
      <c r="E57" s="17" t="n">
        <v>46332</v>
      </c>
      <c r="F57" s="17" t="n">
        <v>46332</v>
      </c>
      <c r="G57" s="13" t="s">
        <v>57</v>
      </c>
      <c r="H57" s="18" t="n">
        <f aca="false">IF(G57="Complete",1,IF(OR(G57="Not Started",K57="Milestone",AsOf&lt;E57),0,MIN(0.9,MAX(0,(AsOf-E57+1)/(F57-E57+1)))))</f>
        <v>0</v>
      </c>
      <c r="I57" s="15"/>
      <c r="J57" s="15" t="s">
        <v>182</v>
      </c>
      <c r="K57" s="13" t="s">
        <v>2</v>
      </c>
    </row>
    <row r="58" customFormat="false" ht="15.75" hidden="false" customHeight="true" outlineLevel="1" collapsed="false">
      <c r="A58" s="13" t="s">
        <v>183</v>
      </c>
      <c r="B58" s="14" t="s">
        <v>184</v>
      </c>
      <c r="C58" s="15" t="s">
        <v>22</v>
      </c>
      <c r="D58" s="16" t="n">
        <f aca="false">IF(K58="Milestone",0,F58-E58+1)</f>
        <v>1</v>
      </c>
      <c r="E58" s="17" t="n">
        <v>46332</v>
      </c>
      <c r="F58" s="17" t="n">
        <v>46332</v>
      </c>
      <c r="G58" s="13" t="s">
        <v>57</v>
      </c>
      <c r="H58" s="18" t="n">
        <f aca="false">IF(G58="Complete",1,IF(OR(G58="Not Started",K58="Milestone",AsOf&lt;E58),0,MIN(0.9,MAX(0,(AsOf-E58+1)/(F58-E58+1)))))</f>
        <v>0</v>
      </c>
      <c r="I58" s="15" t="s">
        <v>81</v>
      </c>
      <c r="J58" s="15" t="s">
        <v>185</v>
      </c>
      <c r="K58" s="13" t="s">
        <v>2</v>
      </c>
    </row>
    <row r="59" customFormat="false" ht="15.75" hidden="false" customHeight="true" outlineLevel="1" collapsed="false">
      <c r="A59" s="13" t="s">
        <v>186</v>
      </c>
      <c r="B59" s="14" t="s">
        <v>187</v>
      </c>
      <c r="C59" s="15" t="s">
        <v>26</v>
      </c>
      <c r="D59" s="16" t="n">
        <f aca="false">IF(K59="Milestone",0,F59-E59+1)</f>
        <v>4</v>
      </c>
      <c r="E59" s="17" t="n">
        <v>46331</v>
      </c>
      <c r="F59" s="17" t="n">
        <v>46334</v>
      </c>
      <c r="G59" s="13" t="s">
        <v>57</v>
      </c>
      <c r="H59" s="18" t="n">
        <f aca="false">IF(G59="Complete",1,IF(OR(G59="Not Started",K59="Milestone",AsOf&lt;E59),0,MIN(0.9,MAX(0,(AsOf-E59+1)/(F59-E59+1)))))</f>
        <v>0</v>
      </c>
      <c r="I59" s="15" t="s">
        <v>168</v>
      </c>
      <c r="J59" s="15" t="s">
        <v>188</v>
      </c>
      <c r="K59" s="13" t="s">
        <v>2</v>
      </c>
    </row>
    <row r="60" customFormat="false" ht="15.75" hidden="false" customHeight="true" outlineLevel="1" collapsed="false">
      <c r="A60" s="13" t="s">
        <v>189</v>
      </c>
      <c r="B60" s="14" t="s">
        <v>155</v>
      </c>
      <c r="C60" s="15" t="s">
        <v>22</v>
      </c>
      <c r="D60" s="16" t="n">
        <f aca="false">IF(K60="Milestone",0,F60-E60+1)</f>
        <v>1</v>
      </c>
      <c r="E60" s="17" t="n">
        <v>46334</v>
      </c>
      <c r="F60" s="17" t="n">
        <v>46334</v>
      </c>
      <c r="G60" s="13" t="s">
        <v>57</v>
      </c>
      <c r="H60" s="18" t="n">
        <f aca="false">IF(G60="Complete",1,IF(OR(G60="Not Started",K60="Milestone",AsOf&lt;E60),0,MIN(0.9,MAX(0,(AsOf-E60+1)/(F60-E60+1)))))</f>
        <v>0</v>
      </c>
      <c r="I60" s="15" t="s">
        <v>186</v>
      </c>
      <c r="J60" s="15" t="s">
        <v>190</v>
      </c>
      <c r="K60" s="13" t="s">
        <v>2</v>
      </c>
    </row>
    <row r="61" customFormat="false" ht="15.75" hidden="false" customHeight="true" outlineLevel="1" collapsed="false">
      <c r="A61" s="13" t="s">
        <v>191</v>
      </c>
      <c r="B61" s="14" t="s">
        <v>192</v>
      </c>
      <c r="C61" s="15" t="s">
        <v>39</v>
      </c>
      <c r="D61" s="16" t="n">
        <f aca="false">IF(K61="Milestone",0,F61-E61+1)</f>
        <v>2</v>
      </c>
      <c r="E61" s="17" t="n">
        <v>46334</v>
      </c>
      <c r="F61" s="17" t="n">
        <v>46335</v>
      </c>
      <c r="G61" s="13" t="s">
        <v>57</v>
      </c>
      <c r="H61" s="18" t="n">
        <f aca="false">IF(G61="Complete",1,IF(OR(G61="Not Started",K61="Milestone",AsOf&lt;E61),0,MIN(0.9,MAX(0,(AsOf-E61+1)/(F61-E61+1)))))</f>
        <v>0</v>
      </c>
      <c r="I61" s="15" t="s">
        <v>189</v>
      </c>
      <c r="J61" s="15" t="s">
        <v>193</v>
      </c>
      <c r="K61" s="13" t="s">
        <v>2</v>
      </c>
    </row>
    <row r="62" customFormat="false" ht="15.75" hidden="false" customHeight="true" outlineLevel="1" collapsed="false">
      <c r="A62" s="13" t="s">
        <v>194</v>
      </c>
      <c r="B62" s="14" t="s">
        <v>195</v>
      </c>
      <c r="C62" s="15" t="s">
        <v>39</v>
      </c>
      <c r="D62" s="16" t="n">
        <f aca="false">IF(K62="Milestone",0,F62-E62+1)</f>
        <v>4</v>
      </c>
      <c r="E62" s="17" t="n">
        <v>46335</v>
      </c>
      <c r="F62" s="17" t="n">
        <v>46338</v>
      </c>
      <c r="G62" s="13" t="s">
        <v>57</v>
      </c>
      <c r="H62" s="18" t="n">
        <f aca="false">IF(G62="Complete",1,IF(OR(G62="Not Started",K62="Milestone",AsOf&lt;E62),0,MIN(0.9,MAX(0,(AsOf-E62+1)/(F62-E62+1)))))</f>
        <v>0</v>
      </c>
      <c r="I62" s="15" t="s">
        <v>196</v>
      </c>
      <c r="J62" s="15" t="s">
        <v>197</v>
      </c>
      <c r="K62" s="13" t="s">
        <v>2</v>
      </c>
    </row>
    <row r="63" customFormat="false" ht="15.75" hidden="false" customHeight="true" outlineLevel="1" collapsed="false">
      <c r="A63" s="13" t="s">
        <v>198</v>
      </c>
      <c r="B63" s="14" t="s">
        <v>199</v>
      </c>
      <c r="C63" s="15" t="s">
        <v>79</v>
      </c>
      <c r="D63" s="16" t="n">
        <f aca="false">IF(K63="Milestone",0,F63-E63+1)</f>
        <v>3</v>
      </c>
      <c r="E63" s="17" t="n">
        <v>46335</v>
      </c>
      <c r="F63" s="17" t="n">
        <v>46337</v>
      </c>
      <c r="G63" s="13" t="s">
        <v>57</v>
      </c>
      <c r="H63" s="18" t="n">
        <f aca="false">IF(G63="Complete",1,IF(OR(G63="Not Started",K63="Milestone",AsOf&lt;E63),0,MIN(0.9,MAX(0,(AsOf-E63+1)/(F63-E63+1)))))</f>
        <v>0</v>
      </c>
      <c r="I63" s="15" t="s">
        <v>189</v>
      </c>
      <c r="J63" s="15" t="s">
        <v>200</v>
      </c>
      <c r="K63" s="13" t="s">
        <v>2</v>
      </c>
    </row>
    <row r="64" customFormat="false" ht="15.75" hidden="false" customHeight="true" outlineLevel="1" collapsed="false">
      <c r="A64" s="13" t="s">
        <v>201</v>
      </c>
      <c r="B64" s="14" t="s">
        <v>202</v>
      </c>
      <c r="C64" s="15" t="s">
        <v>86</v>
      </c>
      <c r="D64" s="16" t="n">
        <f aca="false">IF(K64="Milestone",0,F64-E64+1)</f>
        <v>3</v>
      </c>
      <c r="E64" s="17" t="n">
        <v>46335</v>
      </c>
      <c r="F64" s="17" t="n">
        <v>46337</v>
      </c>
      <c r="G64" s="13" t="s">
        <v>57</v>
      </c>
      <c r="H64" s="18" t="n">
        <f aca="false">IF(G64="Complete",1,IF(OR(G64="Not Started",K64="Milestone",AsOf&lt;E64),0,MIN(0.9,MAX(0,(AsOf-E64+1)/(F64-E64+1)))))</f>
        <v>0</v>
      </c>
      <c r="I64" s="15" t="s">
        <v>189</v>
      </c>
      <c r="J64" s="15" t="s">
        <v>166</v>
      </c>
      <c r="K64" s="13" t="s">
        <v>2</v>
      </c>
    </row>
    <row r="65" customFormat="false" ht="15.75" hidden="false" customHeight="true" outlineLevel="1" collapsed="false">
      <c r="A65" s="13" t="s">
        <v>203</v>
      </c>
      <c r="B65" s="14" t="s">
        <v>204</v>
      </c>
      <c r="C65" s="15" t="s">
        <v>39</v>
      </c>
      <c r="D65" s="16" t="n">
        <f aca="false">IF(K65="Milestone",0,F65-E65+1)</f>
        <v>3</v>
      </c>
      <c r="E65" s="17" t="n">
        <v>46335</v>
      </c>
      <c r="F65" s="17" t="n">
        <v>46337</v>
      </c>
      <c r="G65" s="13" t="s">
        <v>57</v>
      </c>
      <c r="H65" s="18" t="n">
        <f aca="false">IF(G65="Complete",1,IF(OR(G65="Not Started",K65="Milestone",AsOf&lt;E65),0,MIN(0.9,MAX(0,(AsOf-E65+1)/(F65-E65+1)))))</f>
        <v>0</v>
      </c>
      <c r="I65" s="15" t="s">
        <v>177</v>
      </c>
      <c r="J65" s="15" t="s">
        <v>168</v>
      </c>
      <c r="K65" s="13" t="s">
        <v>2</v>
      </c>
    </row>
    <row r="66" customFormat="false" ht="15.75" hidden="false" customHeight="true" outlineLevel="1" collapsed="false">
      <c r="A66" s="13" t="s">
        <v>205</v>
      </c>
      <c r="B66" s="14" t="s">
        <v>206</v>
      </c>
      <c r="C66" s="15" t="s">
        <v>39</v>
      </c>
      <c r="D66" s="16" t="n">
        <f aca="false">IF(K66="Milestone",0,F66-E66+1)</f>
        <v>4</v>
      </c>
      <c r="E66" s="17" t="n">
        <v>46335</v>
      </c>
      <c r="F66" s="17" t="n">
        <v>46338</v>
      </c>
      <c r="G66" s="13" t="s">
        <v>57</v>
      </c>
      <c r="H66" s="18" t="n">
        <f aca="false">IF(G66="Complete",1,IF(OR(G66="Not Started",K66="Milestone",AsOf&lt;E66),0,MIN(0.9,MAX(0,(AsOf-E66+1)/(F66-E66+1)))))</f>
        <v>0</v>
      </c>
      <c r="I66" s="15" t="s">
        <v>207</v>
      </c>
      <c r="J66" s="15" t="s">
        <v>208</v>
      </c>
      <c r="K66" s="13" t="s">
        <v>2</v>
      </c>
    </row>
    <row r="67" customFormat="false" ht="15.75" hidden="false" customHeight="true" outlineLevel="1" collapsed="false">
      <c r="A67" s="19" t="s">
        <v>209</v>
      </c>
      <c r="B67" s="20" t="s">
        <v>210</v>
      </c>
      <c r="C67" s="21" t="s">
        <v>56</v>
      </c>
      <c r="D67" s="22" t="n">
        <f aca="false">IF(K67="Milestone",0,F67-E67+1)</f>
        <v>0</v>
      </c>
      <c r="E67" s="23" t="n">
        <v>46338</v>
      </c>
      <c r="F67" s="23" t="n">
        <v>46338</v>
      </c>
      <c r="G67" s="19" t="s">
        <v>57</v>
      </c>
      <c r="H67" s="24" t="n">
        <f aca="false">IF(G67="Complete",1,IF(OR(G67="Not Started",K67="Milestone",AsOf&lt;E67),0,MIN(0.9,MAX(0,(AsOf-E67+1)/(F67-E67+1)))))</f>
        <v>0</v>
      </c>
      <c r="I67" s="21" t="s">
        <v>211</v>
      </c>
      <c r="J67" s="21" t="s">
        <v>212</v>
      </c>
      <c r="K67" s="19" t="s">
        <v>31</v>
      </c>
      <c r="L67" s="25" t="str">
        <f aca="false">IF(L$4=$E67,"◆","")</f>
        <v/>
      </c>
      <c r="M67" s="25" t="str">
        <f aca="false">IF(M$4=$E67,"◆","")</f>
        <v/>
      </c>
      <c r="N67" s="25" t="str">
        <f aca="false">IF(N$4=$E67,"◆","")</f>
        <v/>
      </c>
      <c r="O67" s="25" t="str">
        <f aca="false">IF(O$4=$E67,"◆","")</f>
        <v/>
      </c>
      <c r="P67" s="25" t="str">
        <f aca="false">IF(P$4=$E67,"◆","")</f>
        <v/>
      </c>
      <c r="Q67" s="25" t="str">
        <f aca="false">IF(Q$4=$E67,"◆","")</f>
        <v/>
      </c>
      <c r="R67" s="25" t="str">
        <f aca="false">IF(R$4=$E67,"◆","")</f>
        <v/>
      </c>
      <c r="S67" s="25" t="str">
        <f aca="false">IF(S$4=$E67,"◆","")</f>
        <v/>
      </c>
      <c r="T67" s="25" t="str">
        <f aca="false">IF(T$4=$E67,"◆","")</f>
        <v/>
      </c>
      <c r="U67" s="25" t="str">
        <f aca="false">IF(U$4=$E67,"◆","")</f>
        <v/>
      </c>
      <c r="V67" s="25" t="str">
        <f aca="false">IF(V$4=$E67,"◆","")</f>
        <v/>
      </c>
      <c r="W67" s="25" t="str">
        <f aca="false">IF(W$4=$E67,"◆","")</f>
        <v/>
      </c>
      <c r="X67" s="25" t="str">
        <f aca="false">IF(X$4=$E67,"◆","")</f>
        <v/>
      </c>
      <c r="Y67" s="25" t="str">
        <f aca="false">IF(Y$4=$E67,"◆","")</f>
        <v/>
      </c>
      <c r="Z67" s="25" t="str">
        <f aca="false">IF(Z$4=$E67,"◆","")</f>
        <v/>
      </c>
      <c r="AA67" s="25" t="str">
        <f aca="false">IF(AA$4=$E67,"◆","")</f>
        <v/>
      </c>
      <c r="AB67" s="25" t="str">
        <f aca="false">IF(AB$4=$E67,"◆","")</f>
        <v/>
      </c>
      <c r="AC67" s="25" t="str">
        <f aca="false">IF(AC$4=$E67,"◆","")</f>
        <v/>
      </c>
      <c r="AD67" s="25" t="str">
        <f aca="false">IF(AD$4=$E67,"◆","")</f>
        <v/>
      </c>
      <c r="AE67" s="25" t="str">
        <f aca="false">IF(AE$4=$E67,"◆","")</f>
        <v/>
      </c>
      <c r="AF67" s="25" t="str">
        <f aca="false">IF(AF$4=$E67,"◆","")</f>
        <v/>
      </c>
      <c r="AG67" s="25" t="str">
        <f aca="false">IF(AG$4=$E67,"◆","")</f>
        <v/>
      </c>
      <c r="AH67" s="25" t="str">
        <f aca="false">IF(AH$4=$E67,"◆","")</f>
        <v/>
      </c>
      <c r="AI67" s="25" t="str">
        <f aca="false">IF(AI$4=$E67,"◆","")</f>
        <v/>
      </c>
      <c r="AJ67" s="25" t="str">
        <f aca="false">IF(AJ$4=$E67,"◆","")</f>
        <v/>
      </c>
      <c r="AK67" s="25" t="str">
        <f aca="false">IF(AK$4=$E67,"◆","")</f>
        <v/>
      </c>
      <c r="AL67" s="25" t="str">
        <f aca="false">IF(AL$4=$E67,"◆","")</f>
        <v/>
      </c>
      <c r="AM67" s="25" t="str">
        <f aca="false">IF(AM$4=$E67,"◆","")</f>
        <v/>
      </c>
      <c r="AN67" s="25" t="str">
        <f aca="false">IF(AN$4=$E67,"◆","")</f>
        <v/>
      </c>
      <c r="AO67" s="25" t="str">
        <f aca="false">IF(AO$4=$E67,"◆","")</f>
        <v/>
      </c>
      <c r="AP67" s="25" t="str">
        <f aca="false">IF(AP$4=$E67,"◆","")</f>
        <v/>
      </c>
      <c r="AQ67" s="25" t="str">
        <f aca="false">IF(AQ$4=$E67,"◆","")</f>
        <v>◆</v>
      </c>
      <c r="AR67" s="25" t="str">
        <f aca="false">IF(AR$4=$E67,"◆","")</f>
        <v/>
      </c>
      <c r="AS67" s="25" t="str">
        <f aca="false">IF(AS$4=$E67,"◆","")</f>
        <v/>
      </c>
      <c r="AT67" s="25" t="str">
        <f aca="false">IF(AT$4=$E67,"◆","")</f>
        <v/>
      </c>
      <c r="AU67" s="25" t="str">
        <f aca="false">IF(AU$4=$E67,"◆","")</f>
        <v/>
      </c>
      <c r="AV67" s="25" t="str">
        <f aca="false">IF(AV$4=$E67,"◆","")</f>
        <v/>
      </c>
      <c r="AW67" s="25" t="str">
        <f aca="false">IF(AW$4=$E67,"◆","")</f>
        <v/>
      </c>
      <c r="AX67" s="25" t="str">
        <f aca="false">IF(AX$4=$E67,"◆","")</f>
        <v/>
      </c>
      <c r="AY67" s="25" t="str">
        <f aca="false">IF(AY$4=$E67,"◆","")</f>
        <v/>
      </c>
      <c r="AZ67" s="25" t="str">
        <f aca="false">IF(AZ$4=$E67,"◆","")</f>
        <v/>
      </c>
      <c r="BA67" s="25" t="str">
        <f aca="false">IF(BA$4=$E67,"◆","")</f>
        <v/>
      </c>
      <c r="BB67" s="25" t="str">
        <f aca="false">IF(BB$4=$E67,"◆","")</f>
        <v/>
      </c>
      <c r="BC67" s="25" t="str">
        <f aca="false">IF(BC$4=$E67,"◆","")</f>
        <v/>
      </c>
      <c r="BD67" s="25" t="str">
        <f aca="false">IF(BD$4=$E67,"◆","")</f>
        <v/>
      </c>
      <c r="BE67" s="25" t="str">
        <f aca="false">IF(BE$4=$E67,"◆","")</f>
        <v/>
      </c>
      <c r="BF67" s="25" t="str">
        <f aca="false">IF(BF$4=$E67,"◆","")</f>
        <v/>
      </c>
      <c r="BG67" s="25" t="str">
        <f aca="false">IF(BG$4=$E67,"◆","")</f>
        <v/>
      </c>
      <c r="BH67" s="25" t="str">
        <f aca="false">IF(BH$4=$E67,"◆","")</f>
        <v/>
      </c>
      <c r="BI67" s="25" t="str">
        <f aca="false">IF(BI$4=$E67,"◆","")</f>
        <v/>
      </c>
      <c r="BJ67" s="25" t="str">
        <f aca="false">IF(BJ$4=$E67,"◆","")</f>
        <v/>
      </c>
      <c r="BK67" s="25" t="str">
        <f aca="false">IF(BK$4=$E67,"◆","")</f>
        <v/>
      </c>
      <c r="BL67" s="25" t="str">
        <f aca="false">IF(BL$4=$E67,"◆","")</f>
        <v/>
      </c>
      <c r="BM67" s="25" t="str">
        <f aca="false">IF(BM$4=$E67,"◆","")</f>
        <v/>
      </c>
      <c r="BN67" s="25" t="str">
        <f aca="false">IF(BN$4=$E67,"◆","")</f>
        <v/>
      </c>
      <c r="BO67" s="25" t="str">
        <f aca="false">IF(BO$4=$E67,"◆","")</f>
        <v/>
      </c>
      <c r="BP67" s="25" t="str">
        <f aca="false">IF(BP$4=$E67,"◆","")</f>
        <v/>
      </c>
      <c r="BQ67" s="25" t="str">
        <f aca="false">IF(BQ$4=$E67,"◆","")</f>
        <v/>
      </c>
      <c r="BR67" s="25" t="str">
        <f aca="false">IF(BR$4=$E67,"◆","")</f>
        <v/>
      </c>
      <c r="BS67" s="25" t="str">
        <f aca="false">IF(BS$4=$E67,"◆","")</f>
        <v/>
      </c>
      <c r="BT67" s="25" t="str">
        <f aca="false">IF(BT$4=$E67,"◆","")</f>
        <v/>
      </c>
      <c r="BU67" s="25" t="str">
        <f aca="false">IF(BU$4=$E67,"◆","")</f>
        <v/>
      </c>
      <c r="BV67" s="25" t="str">
        <f aca="false">IF(BV$4=$E67,"◆","")</f>
        <v/>
      </c>
      <c r="BW67" s="25" t="str">
        <f aca="false">IF(BW$4=$E67,"◆","")</f>
        <v/>
      </c>
      <c r="BX67" s="25" t="str">
        <f aca="false">IF(BX$4=$E67,"◆","")</f>
        <v/>
      </c>
      <c r="BY67" s="25" t="str">
        <f aca="false">IF(BY$4=$E67,"◆","")</f>
        <v/>
      </c>
      <c r="BZ67" s="25" t="str">
        <f aca="false">IF(BZ$4=$E67,"◆","")</f>
        <v/>
      </c>
      <c r="CA67" s="25" t="str">
        <f aca="false">IF(CA$4=$E67,"◆","")</f>
        <v/>
      </c>
      <c r="CB67" s="25" t="str">
        <f aca="false">IF(CB$4=$E67,"◆","")</f>
        <v/>
      </c>
      <c r="CC67" s="25" t="str">
        <f aca="false">IF(CC$4=$E67,"◆","")</f>
        <v/>
      </c>
      <c r="CD67" s="25" t="str">
        <f aca="false">IF(CD$4=$E67,"◆","")</f>
        <v/>
      </c>
      <c r="CE67" s="25" t="str">
        <f aca="false">IF(CE$4=$E67,"◆","")</f>
        <v/>
      </c>
      <c r="CF67" s="25" t="str">
        <f aca="false">IF(CF$4=$E67,"◆","")</f>
        <v/>
      </c>
      <c r="CG67" s="25" t="str">
        <f aca="false">IF(CG$4=$E67,"◆","")</f>
        <v/>
      </c>
      <c r="CH67" s="25" t="str">
        <f aca="false">IF(CH$4=$E67,"◆","")</f>
        <v/>
      </c>
      <c r="CI67" s="25" t="str">
        <f aca="false">IF(CI$4=$E67,"◆","")</f>
        <v/>
      </c>
      <c r="CJ67" s="25" t="str">
        <f aca="false">IF(CJ$4=$E67,"◆","")</f>
        <v/>
      </c>
      <c r="CK67" s="25" t="str">
        <f aca="false">IF(CK$4=$E67,"◆","")</f>
        <v/>
      </c>
      <c r="CL67" s="25" t="str">
        <f aca="false">IF(CL$4=$E67,"◆","")</f>
        <v/>
      </c>
      <c r="CM67" s="25" t="str">
        <f aca="false">IF(CM$4=$E67,"◆","")</f>
        <v/>
      </c>
      <c r="CN67" s="25" t="str">
        <f aca="false">IF(CN$4=$E67,"◆","")</f>
        <v/>
      </c>
      <c r="CO67" s="25" t="str">
        <f aca="false">IF(CO$4=$E67,"◆","")</f>
        <v/>
      </c>
      <c r="CP67" s="25" t="str">
        <f aca="false">IF(CP$4=$E67,"◆","")</f>
        <v/>
      </c>
      <c r="CQ67" s="25" t="str">
        <f aca="false">IF(CQ$4=$E67,"◆","")</f>
        <v/>
      </c>
    </row>
    <row r="68" customFormat="false" ht="15.75" hidden="false" customHeight="true" outlineLevel="0" collapsed="false">
      <c r="A68" s="8" t="s">
        <v>213</v>
      </c>
      <c r="B68" s="9" t="s">
        <v>214</v>
      </c>
      <c r="C68" s="9"/>
      <c r="D68" s="10" t="n">
        <f aca="false">IF(OR(E68="",F68=""),"",F68-E68+1)</f>
        <v>26</v>
      </c>
      <c r="E68" s="11" t="n">
        <f aca="false">MIN(E69:E76)</f>
        <v>46335</v>
      </c>
      <c r="F68" s="11" t="n">
        <f aca="false">MAX(F69:F76)</f>
        <v>46360</v>
      </c>
      <c r="G68" s="8" t="str">
        <f aca="false">IF(COUNTIF(G69:G76,"Blocked")&gt;0,"Blocked",IF(COUNTIF(G69:G76,"At Risk")&gt;0,"At Risk",IF(COUNTIF(G69:G76,"Complete")=ROWS(G69:G76),"Complete",IF(COUNTIF(G69:G76,"Not Started")=ROWS(G69:G76),"Not Started","On Track"))))</f>
        <v>Not Started</v>
      </c>
      <c r="H68" s="12" t="n">
        <f aca="false">IFERROR(SUMPRODUCT(D69:D76,H69:H76)/SUM(D69:D76),0)</f>
        <v>0</v>
      </c>
      <c r="I68" s="9"/>
      <c r="J68" s="9"/>
      <c r="K68" s="8" t="s">
        <v>14</v>
      </c>
    </row>
    <row r="69" customFormat="false" ht="15.75" hidden="false" customHeight="true" outlineLevel="1" collapsed="false">
      <c r="A69" s="13" t="s">
        <v>215</v>
      </c>
      <c r="B69" s="14" t="s">
        <v>216</v>
      </c>
      <c r="C69" s="15" t="s">
        <v>217</v>
      </c>
      <c r="D69" s="16" t="n">
        <f aca="false">IF(K69="Milestone",0,F69-E69+1)</f>
        <v>5</v>
      </c>
      <c r="E69" s="17" t="n">
        <v>46335</v>
      </c>
      <c r="F69" s="17" t="n">
        <v>46339</v>
      </c>
      <c r="G69" s="13" t="s">
        <v>57</v>
      </c>
      <c r="H69" s="18" t="n">
        <f aca="false">IF(G69="Complete",1,IF(OR(G69="Not Started",K69="Milestone",AsOf&lt;E69),0,MIN(0.9,MAX(0,(AsOf-E69+1)/(F69-E69+1)))))</f>
        <v>0</v>
      </c>
      <c r="I69" s="15"/>
      <c r="J69" s="15" t="s">
        <v>218</v>
      </c>
      <c r="K69" s="13" t="s">
        <v>2</v>
      </c>
    </row>
    <row r="70" customFormat="false" ht="15.75" hidden="false" customHeight="true" outlineLevel="1" collapsed="false">
      <c r="A70" s="13" t="s">
        <v>219</v>
      </c>
      <c r="B70" s="14" t="s">
        <v>220</v>
      </c>
      <c r="C70" s="15" t="s">
        <v>22</v>
      </c>
      <c r="D70" s="16" t="n">
        <f aca="false">IF(K70="Milestone",0,F70-E70+1)</f>
        <v>1</v>
      </c>
      <c r="E70" s="17" t="n">
        <v>46339</v>
      </c>
      <c r="F70" s="17" t="n">
        <v>46339</v>
      </c>
      <c r="G70" s="13" t="s">
        <v>57</v>
      </c>
      <c r="H70" s="18" t="n">
        <f aca="false">IF(G70="Complete",1,IF(OR(G70="Not Started",K70="Milestone",AsOf&lt;E70),0,MIN(0.9,MAX(0,(AsOf-E70+1)/(F70-E70+1)))))</f>
        <v>0</v>
      </c>
      <c r="I70" s="15" t="s">
        <v>209</v>
      </c>
      <c r="J70" s="15" t="s">
        <v>221</v>
      </c>
      <c r="K70" s="13" t="s">
        <v>2</v>
      </c>
    </row>
    <row r="71" customFormat="false" ht="15.75" hidden="false" customHeight="true" outlineLevel="1" collapsed="false">
      <c r="A71" s="13" t="s">
        <v>222</v>
      </c>
      <c r="B71" s="14" t="s">
        <v>223</v>
      </c>
      <c r="C71" s="15" t="s">
        <v>26</v>
      </c>
      <c r="D71" s="16" t="n">
        <f aca="false">IF(K71="Milestone",0,F71-E71+1)</f>
        <v>4</v>
      </c>
      <c r="E71" s="17" t="n">
        <v>46338</v>
      </c>
      <c r="F71" s="17" t="n">
        <v>46341</v>
      </c>
      <c r="G71" s="13" t="s">
        <v>57</v>
      </c>
      <c r="H71" s="18" t="n">
        <f aca="false">IF(G71="Complete",1,IF(OR(G71="Not Started",K71="Milestone",AsOf&lt;E71),0,MIN(0.9,MAX(0,(AsOf-E71+1)/(F71-E71+1)))))</f>
        <v>0</v>
      </c>
      <c r="I71" s="15" t="s">
        <v>209</v>
      </c>
      <c r="J71" s="15" t="s">
        <v>224</v>
      </c>
      <c r="K71" s="13" t="s">
        <v>2</v>
      </c>
    </row>
    <row r="72" customFormat="false" ht="15.75" hidden="false" customHeight="true" outlineLevel="1" collapsed="false">
      <c r="A72" s="13" t="s">
        <v>225</v>
      </c>
      <c r="B72" s="14" t="s">
        <v>155</v>
      </c>
      <c r="C72" s="15" t="s">
        <v>22</v>
      </c>
      <c r="D72" s="16" t="n">
        <f aca="false">IF(K72="Milestone",0,F72-E72+1)</f>
        <v>2</v>
      </c>
      <c r="E72" s="17" t="n">
        <v>46340</v>
      </c>
      <c r="F72" s="17" t="n">
        <v>46341</v>
      </c>
      <c r="G72" s="13" t="s">
        <v>57</v>
      </c>
      <c r="H72" s="18" t="n">
        <f aca="false">IF(G72="Complete",1,IF(OR(G72="Not Started",K72="Milestone",AsOf&lt;E72),0,MIN(0.9,MAX(0,(AsOf-E72+1)/(F72-E72+1)))))</f>
        <v>0</v>
      </c>
      <c r="I72" s="15" t="s">
        <v>226</v>
      </c>
      <c r="J72" s="15" t="s">
        <v>227</v>
      </c>
      <c r="K72" s="13" t="s">
        <v>2</v>
      </c>
    </row>
    <row r="73" customFormat="false" ht="15.75" hidden="false" customHeight="true" outlineLevel="1" collapsed="false">
      <c r="A73" s="13" t="s">
        <v>228</v>
      </c>
      <c r="B73" s="14" t="s">
        <v>229</v>
      </c>
      <c r="C73" s="15" t="s">
        <v>39</v>
      </c>
      <c r="D73" s="16" t="n">
        <f aca="false">IF(K73="Milestone",0,F73-E73+1)</f>
        <v>1</v>
      </c>
      <c r="E73" s="17" t="n">
        <v>46341</v>
      </c>
      <c r="F73" s="17" t="n">
        <v>46341</v>
      </c>
      <c r="G73" s="13" t="s">
        <v>57</v>
      </c>
      <c r="H73" s="18" t="n">
        <f aca="false">IF(G73="Complete",1,IF(OR(G73="Not Started",K73="Milestone",AsOf&lt;E73),0,MIN(0.9,MAX(0,(AsOf-E73+1)/(F73-E73+1)))))</f>
        <v>0</v>
      </c>
      <c r="I73" s="15" t="s">
        <v>225</v>
      </c>
      <c r="J73" s="15" t="s">
        <v>230</v>
      </c>
      <c r="K73" s="13" t="s">
        <v>2</v>
      </c>
    </row>
    <row r="74" customFormat="false" ht="15.75" hidden="false" customHeight="true" outlineLevel="1" collapsed="false">
      <c r="A74" s="13" t="s">
        <v>231</v>
      </c>
      <c r="B74" s="14" t="s">
        <v>232</v>
      </c>
      <c r="C74" s="15" t="s">
        <v>217</v>
      </c>
      <c r="D74" s="16" t="n">
        <f aca="false">IF(K74="Milestone",0,F74-E74+1)</f>
        <v>19</v>
      </c>
      <c r="E74" s="17" t="n">
        <v>46342</v>
      </c>
      <c r="F74" s="17" t="n">
        <v>46360</v>
      </c>
      <c r="G74" s="13" t="s">
        <v>57</v>
      </c>
      <c r="H74" s="18" t="n">
        <f aca="false">IF(G74="Complete",1,IF(OR(G74="Not Started",K74="Milestone",AsOf&lt;E74),0,MIN(0.9,MAX(0,(AsOf-E74+1)/(F74-E74+1)))))</f>
        <v>0</v>
      </c>
      <c r="I74" s="15" t="s">
        <v>228</v>
      </c>
      <c r="J74" s="15" t="s">
        <v>233</v>
      </c>
      <c r="K74" s="13" t="s">
        <v>2</v>
      </c>
    </row>
    <row r="75" customFormat="false" ht="15.75" hidden="false" customHeight="true" outlineLevel="1" collapsed="false">
      <c r="A75" s="13" t="s">
        <v>234</v>
      </c>
      <c r="B75" s="14" t="s">
        <v>235</v>
      </c>
      <c r="C75" s="15" t="s">
        <v>93</v>
      </c>
      <c r="D75" s="16" t="n">
        <f aca="false">IF(K75="Milestone",0,F75-E75+1)</f>
        <v>3</v>
      </c>
      <c r="E75" s="17" t="n">
        <v>46342</v>
      </c>
      <c r="F75" s="17" t="n">
        <v>46344</v>
      </c>
      <c r="G75" s="13" t="s">
        <v>57</v>
      </c>
      <c r="H75" s="18" t="n">
        <f aca="false">IF(G75="Complete",1,IF(OR(G75="Not Started",K75="Milestone",AsOf&lt;E75),0,MIN(0.9,MAX(0,(AsOf-E75+1)/(F75-E75+1)))))</f>
        <v>0</v>
      </c>
      <c r="I75" s="15" t="s">
        <v>228</v>
      </c>
      <c r="J75" s="15" t="s">
        <v>236</v>
      </c>
      <c r="K75" s="13" t="s">
        <v>2</v>
      </c>
    </row>
    <row r="76" customFormat="false" ht="15.75" hidden="false" customHeight="true" outlineLevel="1" collapsed="false">
      <c r="A76" s="19" t="s">
        <v>237</v>
      </c>
      <c r="B76" s="20" t="s">
        <v>238</v>
      </c>
      <c r="C76" s="21" t="s">
        <v>56</v>
      </c>
      <c r="D76" s="22" t="n">
        <f aca="false">IF(K76="Milestone",0,F76-E76+1)</f>
        <v>0</v>
      </c>
      <c r="E76" s="23" t="n">
        <v>46345</v>
      </c>
      <c r="F76" s="23" t="n">
        <v>46345</v>
      </c>
      <c r="G76" s="19" t="s">
        <v>57</v>
      </c>
      <c r="H76" s="24" t="n">
        <f aca="false">IF(G76="Complete",1,IF(OR(G76="Not Started",K76="Milestone",AsOf&lt;E76),0,MIN(0.9,MAX(0,(AsOf-E76+1)/(F76-E76+1)))))</f>
        <v>0</v>
      </c>
      <c r="I76" s="21" t="s">
        <v>239</v>
      </c>
      <c r="J76" s="21" t="s">
        <v>240</v>
      </c>
      <c r="K76" s="19" t="s">
        <v>31</v>
      </c>
      <c r="L76" s="25" t="str">
        <f aca="false">IF(L$4=$E76,"◆","")</f>
        <v/>
      </c>
      <c r="M76" s="25" t="str">
        <f aca="false">IF(M$4=$E76,"◆","")</f>
        <v/>
      </c>
      <c r="N76" s="25" t="str">
        <f aca="false">IF(N$4=$E76,"◆","")</f>
        <v/>
      </c>
      <c r="O76" s="25" t="str">
        <f aca="false">IF(O$4=$E76,"◆","")</f>
        <v/>
      </c>
      <c r="P76" s="25" t="str">
        <f aca="false">IF(P$4=$E76,"◆","")</f>
        <v/>
      </c>
      <c r="Q76" s="25" t="str">
        <f aca="false">IF(Q$4=$E76,"◆","")</f>
        <v/>
      </c>
      <c r="R76" s="25" t="str">
        <f aca="false">IF(R$4=$E76,"◆","")</f>
        <v/>
      </c>
      <c r="S76" s="25" t="str">
        <f aca="false">IF(S$4=$E76,"◆","")</f>
        <v/>
      </c>
      <c r="T76" s="25" t="str">
        <f aca="false">IF(T$4=$E76,"◆","")</f>
        <v/>
      </c>
      <c r="U76" s="25" t="str">
        <f aca="false">IF(U$4=$E76,"◆","")</f>
        <v/>
      </c>
      <c r="V76" s="25" t="str">
        <f aca="false">IF(V$4=$E76,"◆","")</f>
        <v/>
      </c>
      <c r="W76" s="25" t="str">
        <f aca="false">IF(W$4=$E76,"◆","")</f>
        <v/>
      </c>
      <c r="X76" s="25" t="str">
        <f aca="false">IF(X$4=$E76,"◆","")</f>
        <v/>
      </c>
      <c r="Y76" s="25" t="str">
        <f aca="false">IF(Y$4=$E76,"◆","")</f>
        <v/>
      </c>
      <c r="Z76" s="25" t="str">
        <f aca="false">IF(Z$4=$E76,"◆","")</f>
        <v/>
      </c>
      <c r="AA76" s="25" t="str">
        <f aca="false">IF(AA$4=$E76,"◆","")</f>
        <v/>
      </c>
      <c r="AB76" s="25" t="str">
        <f aca="false">IF(AB$4=$E76,"◆","")</f>
        <v/>
      </c>
      <c r="AC76" s="25" t="str">
        <f aca="false">IF(AC$4=$E76,"◆","")</f>
        <v/>
      </c>
      <c r="AD76" s="25" t="str">
        <f aca="false">IF(AD$4=$E76,"◆","")</f>
        <v/>
      </c>
      <c r="AE76" s="25" t="str">
        <f aca="false">IF(AE$4=$E76,"◆","")</f>
        <v/>
      </c>
      <c r="AF76" s="25" t="str">
        <f aca="false">IF(AF$4=$E76,"◆","")</f>
        <v/>
      </c>
      <c r="AG76" s="25" t="str">
        <f aca="false">IF(AG$4=$E76,"◆","")</f>
        <v/>
      </c>
      <c r="AH76" s="25" t="str">
        <f aca="false">IF(AH$4=$E76,"◆","")</f>
        <v/>
      </c>
      <c r="AI76" s="25" t="str">
        <f aca="false">IF(AI$4=$E76,"◆","")</f>
        <v/>
      </c>
      <c r="AJ76" s="25" t="str">
        <f aca="false">IF(AJ$4=$E76,"◆","")</f>
        <v/>
      </c>
      <c r="AK76" s="25" t="str">
        <f aca="false">IF(AK$4=$E76,"◆","")</f>
        <v/>
      </c>
      <c r="AL76" s="25" t="str">
        <f aca="false">IF(AL$4=$E76,"◆","")</f>
        <v/>
      </c>
      <c r="AM76" s="25" t="str">
        <f aca="false">IF(AM$4=$E76,"◆","")</f>
        <v/>
      </c>
      <c r="AN76" s="25" t="str">
        <f aca="false">IF(AN$4=$E76,"◆","")</f>
        <v/>
      </c>
      <c r="AO76" s="25" t="str">
        <f aca="false">IF(AO$4=$E76,"◆","")</f>
        <v/>
      </c>
      <c r="AP76" s="25" t="str">
        <f aca="false">IF(AP$4=$E76,"◆","")</f>
        <v/>
      </c>
      <c r="AQ76" s="25" t="str">
        <f aca="false">IF(AQ$4=$E76,"◆","")</f>
        <v/>
      </c>
      <c r="AR76" s="25" t="str">
        <f aca="false">IF(AR$4=$E76,"◆","")</f>
        <v/>
      </c>
      <c r="AS76" s="25" t="str">
        <f aca="false">IF(AS$4=$E76,"◆","")</f>
        <v/>
      </c>
      <c r="AT76" s="25" t="str">
        <f aca="false">IF(AT$4=$E76,"◆","")</f>
        <v/>
      </c>
      <c r="AU76" s="25" t="str">
        <f aca="false">IF(AU$4=$E76,"◆","")</f>
        <v/>
      </c>
      <c r="AV76" s="25" t="str">
        <f aca="false">IF(AV$4=$E76,"◆","")</f>
        <v/>
      </c>
      <c r="AW76" s="25" t="str">
        <f aca="false">IF(AW$4=$E76,"◆","")</f>
        <v/>
      </c>
      <c r="AX76" s="25" t="str">
        <f aca="false">IF(AX$4=$E76,"◆","")</f>
        <v>◆</v>
      </c>
      <c r="AY76" s="25" t="str">
        <f aca="false">IF(AY$4=$E76,"◆","")</f>
        <v/>
      </c>
      <c r="AZ76" s="25" t="str">
        <f aca="false">IF(AZ$4=$E76,"◆","")</f>
        <v/>
      </c>
      <c r="BA76" s="25" t="str">
        <f aca="false">IF(BA$4=$E76,"◆","")</f>
        <v/>
      </c>
      <c r="BB76" s="25" t="str">
        <f aca="false">IF(BB$4=$E76,"◆","")</f>
        <v/>
      </c>
      <c r="BC76" s="25" t="str">
        <f aca="false">IF(BC$4=$E76,"◆","")</f>
        <v/>
      </c>
      <c r="BD76" s="25" t="str">
        <f aca="false">IF(BD$4=$E76,"◆","")</f>
        <v/>
      </c>
      <c r="BE76" s="25" t="str">
        <f aca="false">IF(BE$4=$E76,"◆","")</f>
        <v/>
      </c>
      <c r="BF76" s="25" t="str">
        <f aca="false">IF(BF$4=$E76,"◆","")</f>
        <v/>
      </c>
      <c r="BG76" s="25" t="str">
        <f aca="false">IF(BG$4=$E76,"◆","")</f>
        <v/>
      </c>
      <c r="BH76" s="25" t="str">
        <f aca="false">IF(BH$4=$E76,"◆","")</f>
        <v/>
      </c>
      <c r="BI76" s="25" t="str">
        <f aca="false">IF(BI$4=$E76,"◆","")</f>
        <v/>
      </c>
      <c r="BJ76" s="25" t="str">
        <f aca="false">IF(BJ$4=$E76,"◆","")</f>
        <v/>
      </c>
      <c r="BK76" s="25" t="str">
        <f aca="false">IF(BK$4=$E76,"◆","")</f>
        <v/>
      </c>
      <c r="BL76" s="25" t="str">
        <f aca="false">IF(BL$4=$E76,"◆","")</f>
        <v/>
      </c>
      <c r="BM76" s="25" t="str">
        <f aca="false">IF(BM$4=$E76,"◆","")</f>
        <v/>
      </c>
      <c r="BN76" s="25" t="str">
        <f aca="false">IF(BN$4=$E76,"◆","")</f>
        <v/>
      </c>
      <c r="BO76" s="25" t="str">
        <f aca="false">IF(BO$4=$E76,"◆","")</f>
        <v/>
      </c>
      <c r="BP76" s="25" t="str">
        <f aca="false">IF(BP$4=$E76,"◆","")</f>
        <v/>
      </c>
      <c r="BQ76" s="25" t="str">
        <f aca="false">IF(BQ$4=$E76,"◆","")</f>
        <v/>
      </c>
      <c r="BR76" s="25" t="str">
        <f aca="false">IF(BR$4=$E76,"◆","")</f>
        <v/>
      </c>
      <c r="BS76" s="25" t="str">
        <f aca="false">IF(BS$4=$E76,"◆","")</f>
        <v/>
      </c>
      <c r="BT76" s="25" t="str">
        <f aca="false">IF(BT$4=$E76,"◆","")</f>
        <v/>
      </c>
      <c r="BU76" s="25" t="str">
        <f aca="false">IF(BU$4=$E76,"◆","")</f>
        <v/>
      </c>
      <c r="BV76" s="25" t="str">
        <f aca="false">IF(BV$4=$E76,"◆","")</f>
        <v/>
      </c>
      <c r="BW76" s="25" t="str">
        <f aca="false">IF(BW$4=$E76,"◆","")</f>
        <v/>
      </c>
      <c r="BX76" s="25" t="str">
        <f aca="false">IF(BX$4=$E76,"◆","")</f>
        <v/>
      </c>
      <c r="BY76" s="25" t="str">
        <f aca="false">IF(BY$4=$E76,"◆","")</f>
        <v/>
      </c>
      <c r="BZ76" s="25" t="str">
        <f aca="false">IF(BZ$4=$E76,"◆","")</f>
        <v/>
      </c>
      <c r="CA76" s="25" t="str">
        <f aca="false">IF(CA$4=$E76,"◆","")</f>
        <v/>
      </c>
      <c r="CB76" s="25" t="str">
        <f aca="false">IF(CB$4=$E76,"◆","")</f>
        <v/>
      </c>
      <c r="CC76" s="25" t="str">
        <f aca="false">IF(CC$4=$E76,"◆","")</f>
        <v/>
      </c>
      <c r="CD76" s="25" t="str">
        <f aca="false">IF(CD$4=$E76,"◆","")</f>
        <v/>
      </c>
      <c r="CE76" s="25" t="str">
        <f aca="false">IF(CE$4=$E76,"◆","")</f>
        <v/>
      </c>
      <c r="CF76" s="25" t="str">
        <f aca="false">IF(CF$4=$E76,"◆","")</f>
        <v/>
      </c>
      <c r="CG76" s="25" t="str">
        <f aca="false">IF(CG$4=$E76,"◆","")</f>
        <v/>
      </c>
      <c r="CH76" s="25" t="str">
        <f aca="false">IF(CH$4=$E76,"◆","")</f>
        <v/>
      </c>
      <c r="CI76" s="25" t="str">
        <f aca="false">IF(CI$4=$E76,"◆","")</f>
        <v/>
      </c>
      <c r="CJ76" s="25" t="str">
        <f aca="false">IF(CJ$4=$E76,"◆","")</f>
        <v/>
      </c>
      <c r="CK76" s="25" t="str">
        <f aca="false">IF(CK$4=$E76,"◆","")</f>
        <v/>
      </c>
      <c r="CL76" s="25" t="str">
        <f aca="false">IF(CL$4=$E76,"◆","")</f>
        <v/>
      </c>
      <c r="CM76" s="25" t="str">
        <f aca="false">IF(CM$4=$E76,"◆","")</f>
        <v/>
      </c>
      <c r="CN76" s="25" t="str">
        <f aca="false">IF(CN$4=$E76,"◆","")</f>
        <v/>
      </c>
      <c r="CO76" s="25" t="str">
        <f aca="false">IF(CO$4=$E76,"◆","")</f>
        <v/>
      </c>
      <c r="CP76" s="25" t="str">
        <f aca="false">IF(CP$4=$E76,"◆","")</f>
        <v/>
      </c>
      <c r="CQ76" s="25" t="str">
        <f aca="false">IF(CQ$4=$E76,"◆","")</f>
        <v/>
      </c>
    </row>
    <row r="77" customFormat="false" ht="15.75" hidden="false" customHeight="true" outlineLevel="0" collapsed="false">
      <c r="A77" s="8" t="s">
        <v>241</v>
      </c>
      <c r="B77" s="9" t="s">
        <v>242</v>
      </c>
      <c r="C77" s="9"/>
      <c r="D77" s="10" t="n">
        <f aca="false">IF(OR(E77="",F77=""),"",F77-E77+1)</f>
        <v>12</v>
      </c>
      <c r="E77" s="11" t="n">
        <f aca="false">MIN(E78:E82)</f>
        <v>46340</v>
      </c>
      <c r="F77" s="11" t="n">
        <f aca="false">MAX(F78:F82)</f>
        <v>46351</v>
      </c>
      <c r="G77" s="8" t="str">
        <f aca="false">IF(COUNTIF(G78:G82,"Blocked")&gt;0,"Blocked",IF(COUNTIF(G78:G82,"At Risk")&gt;0,"At Risk",IF(COUNTIF(G78:G82,"Complete")=ROWS(G78:G82),"Complete",IF(COUNTIF(G78:G82,"Not Started")=ROWS(G78:G82),"Not Started","On Track"))))</f>
        <v>Not Started</v>
      </c>
      <c r="H77" s="12" t="n">
        <f aca="false">IFERROR(SUMPRODUCT(D78:D82,H78:H82)/SUM(D78:D82),0)</f>
        <v>0</v>
      </c>
      <c r="I77" s="9"/>
      <c r="J77" s="9"/>
      <c r="K77" s="8" t="s">
        <v>14</v>
      </c>
    </row>
    <row r="78" customFormat="false" ht="15.75" hidden="false" customHeight="true" outlineLevel="1" collapsed="false">
      <c r="A78" s="13" t="s">
        <v>243</v>
      </c>
      <c r="B78" s="14" t="s">
        <v>244</v>
      </c>
      <c r="C78" s="15" t="s">
        <v>22</v>
      </c>
      <c r="D78" s="16" t="n">
        <f aca="false">IF(K78="Milestone",0,F78-E78+1)</f>
        <v>9</v>
      </c>
      <c r="E78" s="17" t="n">
        <v>46340</v>
      </c>
      <c r="F78" s="17" t="n">
        <v>46348</v>
      </c>
      <c r="G78" s="13" t="s">
        <v>57</v>
      </c>
      <c r="H78" s="18" t="n">
        <f aca="false">IF(G78="Complete",1,IF(OR(G78="Not Started",K78="Milestone",AsOf&lt;E78),0,MIN(0.9,MAX(0,(AsOf-E78+1)/(F78-E78+1)))))</f>
        <v>0</v>
      </c>
      <c r="I78" s="15" t="s">
        <v>226</v>
      </c>
      <c r="J78" s="15" t="s">
        <v>245</v>
      </c>
      <c r="K78" s="13" t="s">
        <v>2</v>
      </c>
    </row>
    <row r="79" customFormat="false" ht="15.75" hidden="false" customHeight="true" outlineLevel="1" collapsed="false">
      <c r="A79" s="13" t="s">
        <v>246</v>
      </c>
      <c r="B79" s="14" t="s">
        <v>247</v>
      </c>
      <c r="C79" s="15" t="s">
        <v>26</v>
      </c>
      <c r="D79" s="16" t="n">
        <f aca="false">IF(K79="Milestone",0,F79-E79+1)</f>
        <v>4</v>
      </c>
      <c r="E79" s="17" t="n">
        <v>46345</v>
      </c>
      <c r="F79" s="17" t="n">
        <v>46348</v>
      </c>
      <c r="G79" s="13" t="s">
        <v>57</v>
      </c>
      <c r="H79" s="18" t="n">
        <f aca="false">IF(G79="Complete",1,IF(OR(G79="Not Started",K79="Milestone",AsOf&lt;E79),0,MIN(0.9,MAX(0,(AsOf-E79+1)/(F79-E79+1)))))</f>
        <v>0</v>
      </c>
      <c r="I79" s="15" t="s">
        <v>237</v>
      </c>
      <c r="J79" s="15" t="s">
        <v>248</v>
      </c>
      <c r="K79" s="13" t="s">
        <v>2</v>
      </c>
    </row>
    <row r="80" customFormat="false" ht="15.75" hidden="false" customHeight="true" outlineLevel="1" collapsed="false">
      <c r="A80" s="13" t="s">
        <v>249</v>
      </c>
      <c r="B80" s="14" t="s">
        <v>155</v>
      </c>
      <c r="C80" s="15" t="s">
        <v>22</v>
      </c>
      <c r="D80" s="16" t="n">
        <f aca="false">IF(K80="Milestone",0,F80-E80+1)</f>
        <v>3</v>
      </c>
      <c r="E80" s="17" t="n">
        <v>46347</v>
      </c>
      <c r="F80" s="17" t="n">
        <v>46349</v>
      </c>
      <c r="G80" s="13" t="s">
        <v>57</v>
      </c>
      <c r="H80" s="18" t="n">
        <f aca="false">IF(G80="Complete",1,IF(OR(G80="Not Started",K80="Milestone",AsOf&lt;E80),0,MIN(0.9,MAX(0,(AsOf-E80+1)/(F80-E80+1)))))</f>
        <v>0</v>
      </c>
      <c r="I80" s="15" t="s">
        <v>250</v>
      </c>
      <c r="J80" s="15" t="s">
        <v>251</v>
      </c>
      <c r="K80" s="13" t="s">
        <v>2</v>
      </c>
    </row>
    <row r="81" customFormat="false" ht="15.75" hidden="false" customHeight="true" outlineLevel="1" collapsed="false">
      <c r="A81" s="13" t="s">
        <v>252</v>
      </c>
      <c r="B81" s="14" t="s">
        <v>253</v>
      </c>
      <c r="C81" s="15" t="s">
        <v>22</v>
      </c>
      <c r="D81" s="16" t="n">
        <f aca="false">IF(K81="Milestone",0,F81-E81+1)</f>
        <v>1</v>
      </c>
      <c r="E81" s="17" t="n">
        <v>46349</v>
      </c>
      <c r="F81" s="17" t="n">
        <v>46349</v>
      </c>
      <c r="G81" s="13" t="s">
        <v>57</v>
      </c>
      <c r="H81" s="18" t="n">
        <f aca="false">IF(G81="Complete",1,IF(OR(G81="Not Started",K81="Milestone",AsOf&lt;E81),0,MIN(0.9,MAX(0,(AsOf-E81+1)/(F81-E81+1)))))</f>
        <v>0</v>
      </c>
      <c r="I81" s="15" t="s">
        <v>249</v>
      </c>
      <c r="J81" s="15" t="s">
        <v>254</v>
      </c>
      <c r="K81" s="13" t="s">
        <v>2</v>
      </c>
    </row>
    <row r="82" customFormat="false" ht="15.75" hidden="false" customHeight="true" outlineLevel="1" collapsed="false">
      <c r="A82" s="19" t="s">
        <v>255</v>
      </c>
      <c r="B82" s="20" t="s">
        <v>256</v>
      </c>
      <c r="C82" s="21" t="s">
        <v>56</v>
      </c>
      <c r="D82" s="22" t="n">
        <f aca="false">IF(K82="Milestone",0,F82-E82+1)</f>
        <v>0</v>
      </c>
      <c r="E82" s="23" t="n">
        <v>46351</v>
      </c>
      <c r="F82" s="23" t="n">
        <v>46351</v>
      </c>
      <c r="G82" s="19" t="s">
        <v>57</v>
      </c>
      <c r="H82" s="24" t="n">
        <f aca="false">IF(G82="Complete",1,IF(OR(G82="Not Started",K82="Milestone",AsOf&lt;E82),0,MIN(0.9,MAX(0,(AsOf-E82+1)/(F82-E82+1)))))</f>
        <v>0</v>
      </c>
      <c r="I82" s="21" t="s">
        <v>257</v>
      </c>
      <c r="J82" s="21" t="s">
        <v>258</v>
      </c>
      <c r="K82" s="19" t="s">
        <v>31</v>
      </c>
      <c r="L82" s="25" t="str">
        <f aca="false">IF(L$4=$E82,"◆","")</f>
        <v/>
      </c>
      <c r="M82" s="25" t="str">
        <f aca="false">IF(M$4=$E82,"◆","")</f>
        <v/>
      </c>
      <c r="N82" s="25" t="str">
        <f aca="false">IF(N$4=$E82,"◆","")</f>
        <v/>
      </c>
      <c r="O82" s="25" t="str">
        <f aca="false">IF(O$4=$E82,"◆","")</f>
        <v/>
      </c>
      <c r="P82" s="25" t="str">
        <f aca="false">IF(P$4=$E82,"◆","")</f>
        <v/>
      </c>
      <c r="Q82" s="25" t="str">
        <f aca="false">IF(Q$4=$E82,"◆","")</f>
        <v/>
      </c>
      <c r="R82" s="25" t="str">
        <f aca="false">IF(R$4=$E82,"◆","")</f>
        <v/>
      </c>
      <c r="S82" s="25" t="str">
        <f aca="false">IF(S$4=$E82,"◆","")</f>
        <v/>
      </c>
      <c r="T82" s="25" t="str">
        <f aca="false">IF(T$4=$E82,"◆","")</f>
        <v/>
      </c>
      <c r="U82" s="25" t="str">
        <f aca="false">IF(U$4=$E82,"◆","")</f>
        <v/>
      </c>
      <c r="V82" s="25" t="str">
        <f aca="false">IF(V$4=$E82,"◆","")</f>
        <v/>
      </c>
      <c r="W82" s="25" t="str">
        <f aca="false">IF(W$4=$E82,"◆","")</f>
        <v/>
      </c>
      <c r="X82" s="25" t="str">
        <f aca="false">IF(X$4=$E82,"◆","")</f>
        <v/>
      </c>
      <c r="Y82" s="25" t="str">
        <f aca="false">IF(Y$4=$E82,"◆","")</f>
        <v/>
      </c>
      <c r="Z82" s="25" t="str">
        <f aca="false">IF(Z$4=$E82,"◆","")</f>
        <v/>
      </c>
      <c r="AA82" s="25" t="str">
        <f aca="false">IF(AA$4=$E82,"◆","")</f>
        <v/>
      </c>
      <c r="AB82" s="25" t="str">
        <f aca="false">IF(AB$4=$E82,"◆","")</f>
        <v/>
      </c>
      <c r="AC82" s="25" t="str">
        <f aca="false">IF(AC$4=$E82,"◆","")</f>
        <v/>
      </c>
      <c r="AD82" s="25" t="str">
        <f aca="false">IF(AD$4=$E82,"◆","")</f>
        <v/>
      </c>
      <c r="AE82" s="25" t="str">
        <f aca="false">IF(AE$4=$E82,"◆","")</f>
        <v/>
      </c>
      <c r="AF82" s="25" t="str">
        <f aca="false">IF(AF$4=$E82,"◆","")</f>
        <v/>
      </c>
      <c r="AG82" s="25" t="str">
        <f aca="false">IF(AG$4=$E82,"◆","")</f>
        <v/>
      </c>
      <c r="AH82" s="25" t="str">
        <f aca="false">IF(AH$4=$E82,"◆","")</f>
        <v/>
      </c>
      <c r="AI82" s="25" t="str">
        <f aca="false">IF(AI$4=$E82,"◆","")</f>
        <v/>
      </c>
      <c r="AJ82" s="25" t="str">
        <f aca="false">IF(AJ$4=$E82,"◆","")</f>
        <v/>
      </c>
      <c r="AK82" s="25" t="str">
        <f aca="false">IF(AK$4=$E82,"◆","")</f>
        <v/>
      </c>
      <c r="AL82" s="25" t="str">
        <f aca="false">IF(AL$4=$E82,"◆","")</f>
        <v/>
      </c>
      <c r="AM82" s="25" t="str">
        <f aca="false">IF(AM$4=$E82,"◆","")</f>
        <v/>
      </c>
      <c r="AN82" s="25" t="str">
        <f aca="false">IF(AN$4=$E82,"◆","")</f>
        <v/>
      </c>
      <c r="AO82" s="25" t="str">
        <f aca="false">IF(AO$4=$E82,"◆","")</f>
        <v/>
      </c>
      <c r="AP82" s="25" t="str">
        <f aca="false">IF(AP$4=$E82,"◆","")</f>
        <v/>
      </c>
      <c r="AQ82" s="25" t="str">
        <f aca="false">IF(AQ$4=$E82,"◆","")</f>
        <v/>
      </c>
      <c r="AR82" s="25" t="str">
        <f aca="false">IF(AR$4=$E82,"◆","")</f>
        <v/>
      </c>
      <c r="AS82" s="25" t="str">
        <f aca="false">IF(AS$4=$E82,"◆","")</f>
        <v/>
      </c>
      <c r="AT82" s="25" t="str">
        <f aca="false">IF(AT$4=$E82,"◆","")</f>
        <v/>
      </c>
      <c r="AU82" s="25" t="str">
        <f aca="false">IF(AU$4=$E82,"◆","")</f>
        <v/>
      </c>
      <c r="AV82" s="25" t="str">
        <f aca="false">IF(AV$4=$E82,"◆","")</f>
        <v/>
      </c>
      <c r="AW82" s="25" t="str">
        <f aca="false">IF(AW$4=$E82,"◆","")</f>
        <v/>
      </c>
      <c r="AX82" s="25" t="str">
        <f aca="false">IF(AX$4=$E82,"◆","")</f>
        <v/>
      </c>
      <c r="AY82" s="25" t="str">
        <f aca="false">IF(AY$4=$E82,"◆","")</f>
        <v/>
      </c>
      <c r="AZ82" s="25" t="str">
        <f aca="false">IF(AZ$4=$E82,"◆","")</f>
        <v/>
      </c>
      <c r="BA82" s="25" t="str">
        <f aca="false">IF(BA$4=$E82,"◆","")</f>
        <v/>
      </c>
      <c r="BB82" s="25" t="str">
        <f aca="false">IF(BB$4=$E82,"◆","")</f>
        <v/>
      </c>
      <c r="BC82" s="25" t="str">
        <f aca="false">IF(BC$4=$E82,"◆","")</f>
        <v/>
      </c>
      <c r="BD82" s="25" t="str">
        <f aca="false">IF(BD$4=$E82,"◆","")</f>
        <v>◆</v>
      </c>
      <c r="BE82" s="25" t="str">
        <f aca="false">IF(BE$4=$E82,"◆","")</f>
        <v/>
      </c>
      <c r="BF82" s="25" t="str">
        <f aca="false">IF(BF$4=$E82,"◆","")</f>
        <v/>
      </c>
      <c r="BG82" s="25" t="str">
        <f aca="false">IF(BG$4=$E82,"◆","")</f>
        <v/>
      </c>
      <c r="BH82" s="25" t="str">
        <f aca="false">IF(BH$4=$E82,"◆","")</f>
        <v/>
      </c>
      <c r="BI82" s="25" t="str">
        <f aca="false">IF(BI$4=$E82,"◆","")</f>
        <v/>
      </c>
      <c r="BJ82" s="25" t="str">
        <f aca="false">IF(BJ$4=$E82,"◆","")</f>
        <v/>
      </c>
      <c r="BK82" s="25" t="str">
        <f aca="false">IF(BK$4=$E82,"◆","")</f>
        <v/>
      </c>
      <c r="BL82" s="25" t="str">
        <f aca="false">IF(BL$4=$E82,"◆","")</f>
        <v/>
      </c>
      <c r="BM82" s="25" t="str">
        <f aca="false">IF(BM$4=$E82,"◆","")</f>
        <v/>
      </c>
      <c r="BN82" s="25" t="str">
        <f aca="false">IF(BN$4=$E82,"◆","")</f>
        <v/>
      </c>
      <c r="BO82" s="25" t="str">
        <f aca="false">IF(BO$4=$E82,"◆","")</f>
        <v/>
      </c>
      <c r="BP82" s="25" t="str">
        <f aca="false">IF(BP$4=$E82,"◆","")</f>
        <v/>
      </c>
      <c r="BQ82" s="25" t="str">
        <f aca="false">IF(BQ$4=$E82,"◆","")</f>
        <v/>
      </c>
      <c r="BR82" s="25" t="str">
        <f aca="false">IF(BR$4=$E82,"◆","")</f>
        <v/>
      </c>
      <c r="BS82" s="25" t="str">
        <f aca="false">IF(BS$4=$E82,"◆","")</f>
        <v/>
      </c>
      <c r="BT82" s="25" t="str">
        <f aca="false">IF(BT$4=$E82,"◆","")</f>
        <v/>
      </c>
      <c r="BU82" s="25" t="str">
        <f aca="false">IF(BU$4=$E82,"◆","")</f>
        <v/>
      </c>
      <c r="BV82" s="25" t="str">
        <f aca="false">IF(BV$4=$E82,"◆","")</f>
        <v/>
      </c>
      <c r="BW82" s="25" t="str">
        <f aca="false">IF(BW$4=$E82,"◆","")</f>
        <v/>
      </c>
      <c r="BX82" s="25" t="str">
        <f aca="false">IF(BX$4=$E82,"◆","")</f>
        <v/>
      </c>
      <c r="BY82" s="25" t="str">
        <f aca="false">IF(BY$4=$E82,"◆","")</f>
        <v/>
      </c>
      <c r="BZ82" s="25" t="str">
        <f aca="false">IF(BZ$4=$E82,"◆","")</f>
        <v/>
      </c>
      <c r="CA82" s="25" t="str">
        <f aca="false">IF(CA$4=$E82,"◆","")</f>
        <v/>
      </c>
      <c r="CB82" s="25" t="str">
        <f aca="false">IF(CB$4=$E82,"◆","")</f>
        <v/>
      </c>
      <c r="CC82" s="25" t="str">
        <f aca="false">IF(CC$4=$E82,"◆","")</f>
        <v/>
      </c>
      <c r="CD82" s="25" t="str">
        <f aca="false">IF(CD$4=$E82,"◆","")</f>
        <v/>
      </c>
      <c r="CE82" s="25" t="str">
        <f aca="false">IF(CE$4=$E82,"◆","")</f>
        <v/>
      </c>
      <c r="CF82" s="25" t="str">
        <f aca="false">IF(CF$4=$E82,"◆","")</f>
        <v/>
      </c>
      <c r="CG82" s="25" t="str">
        <f aca="false">IF(CG$4=$E82,"◆","")</f>
        <v/>
      </c>
      <c r="CH82" s="25" t="str">
        <f aca="false">IF(CH$4=$E82,"◆","")</f>
        <v/>
      </c>
      <c r="CI82" s="25" t="str">
        <f aca="false">IF(CI$4=$E82,"◆","")</f>
        <v/>
      </c>
      <c r="CJ82" s="25" t="str">
        <f aca="false">IF(CJ$4=$E82,"◆","")</f>
        <v/>
      </c>
      <c r="CK82" s="25" t="str">
        <f aca="false">IF(CK$4=$E82,"◆","")</f>
        <v/>
      </c>
      <c r="CL82" s="25" t="str">
        <f aca="false">IF(CL$4=$E82,"◆","")</f>
        <v/>
      </c>
      <c r="CM82" s="25" t="str">
        <f aca="false">IF(CM$4=$E82,"◆","")</f>
        <v/>
      </c>
      <c r="CN82" s="25" t="str">
        <f aca="false">IF(CN$4=$E82,"◆","")</f>
        <v/>
      </c>
      <c r="CO82" s="25" t="str">
        <f aca="false">IF(CO$4=$E82,"◆","")</f>
        <v/>
      </c>
      <c r="CP82" s="25" t="str">
        <f aca="false">IF(CP$4=$E82,"◆","")</f>
        <v/>
      </c>
      <c r="CQ82" s="25" t="str">
        <f aca="false">IF(CQ$4=$E82,"◆","")</f>
        <v/>
      </c>
    </row>
    <row r="83" customFormat="false" ht="15.75" hidden="false" customHeight="true" outlineLevel="0" collapsed="false">
      <c r="A83" s="8" t="s">
        <v>259</v>
      </c>
      <c r="B83" s="9" t="s">
        <v>260</v>
      </c>
      <c r="C83" s="9"/>
      <c r="D83" s="10" t="n">
        <f aca="false">IF(OR(E83="",F83=""),"",F83-E83+1)</f>
        <v>4</v>
      </c>
      <c r="E83" s="11" t="n">
        <f aca="false">MIN(E84:E86)</f>
        <v>46357</v>
      </c>
      <c r="F83" s="11" t="n">
        <f aca="false">MAX(F84:F86)</f>
        <v>46360</v>
      </c>
      <c r="G83" s="8" t="str">
        <f aca="false">IF(COUNTIF(G84:G86,"Blocked")&gt;0,"Blocked",IF(COUNTIF(G84:G86,"At Risk")&gt;0,"At Risk",IF(COUNTIF(G84:G86,"Complete")=ROWS(G84:G86),"Complete",IF(COUNTIF(G84:G86,"Not Started")=ROWS(G84:G86),"Not Started","On Track"))))</f>
        <v>Not Started</v>
      </c>
      <c r="H83" s="12" t="n">
        <f aca="false">IFERROR(SUMPRODUCT(D84:D86,H84:H86)/SUM(D84:D86),0)</f>
        <v>0</v>
      </c>
      <c r="I83" s="9"/>
      <c r="J83" s="9"/>
      <c r="K83" s="8" t="s">
        <v>14</v>
      </c>
    </row>
    <row r="84" customFormat="false" ht="15.75" hidden="false" customHeight="true" outlineLevel="1" collapsed="false">
      <c r="A84" s="13" t="s">
        <v>261</v>
      </c>
      <c r="B84" s="14" t="s">
        <v>262</v>
      </c>
      <c r="C84" s="15" t="s">
        <v>26</v>
      </c>
      <c r="D84" s="16" t="n">
        <f aca="false">IF(K84="Milestone",0,F84-E84+1)</f>
        <v>1</v>
      </c>
      <c r="E84" s="17" t="n">
        <v>46357</v>
      </c>
      <c r="F84" s="17" t="n">
        <v>46357</v>
      </c>
      <c r="G84" s="13" t="s">
        <v>57</v>
      </c>
      <c r="H84" s="18" t="n">
        <f aca="false">IF(G84="Complete",1,IF(OR(G84="Not Started",K84="Milestone",AsOf&lt;E84),0,MIN(0.9,MAX(0,(AsOf-E84+1)/(F84-E84+1)))))</f>
        <v>0</v>
      </c>
      <c r="I84" s="15" t="s">
        <v>237</v>
      </c>
      <c r="J84" s="15" t="s">
        <v>263</v>
      </c>
      <c r="K84" s="13" t="s">
        <v>2</v>
      </c>
    </row>
    <row r="85" customFormat="false" ht="15.75" hidden="false" customHeight="true" outlineLevel="1" collapsed="false">
      <c r="A85" s="13" t="s">
        <v>264</v>
      </c>
      <c r="B85" s="14" t="s">
        <v>265</v>
      </c>
      <c r="C85" s="15" t="s">
        <v>26</v>
      </c>
      <c r="D85" s="16" t="n">
        <f aca="false">IF(K85="Milestone",0,F85-E85+1)</f>
        <v>1</v>
      </c>
      <c r="E85" s="17" t="n">
        <v>46359</v>
      </c>
      <c r="F85" s="17" t="n">
        <v>46359</v>
      </c>
      <c r="G85" s="13" t="s">
        <v>57</v>
      </c>
      <c r="H85" s="18" t="n">
        <f aca="false">IF(G85="Complete",1,IF(OR(G85="Not Started",K85="Milestone",AsOf&lt;E85),0,MIN(0.9,MAX(0,(AsOf-E85+1)/(F85-E85+1)))))</f>
        <v>0</v>
      </c>
      <c r="I85" s="15" t="s">
        <v>261</v>
      </c>
      <c r="J85" s="15" t="s">
        <v>266</v>
      </c>
      <c r="K85" s="13" t="s">
        <v>2</v>
      </c>
    </row>
    <row r="86" customFormat="false" ht="15.75" hidden="false" customHeight="true" outlineLevel="1" collapsed="false">
      <c r="A86" s="13" t="s">
        <v>267</v>
      </c>
      <c r="B86" s="14" t="s">
        <v>268</v>
      </c>
      <c r="C86" s="15" t="s">
        <v>22</v>
      </c>
      <c r="D86" s="16" t="n">
        <f aca="false">IF(K86="Milestone",0,F86-E86+1)</f>
        <v>4</v>
      </c>
      <c r="E86" s="17" t="n">
        <v>46357</v>
      </c>
      <c r="F86" s="17" t="n">
        <v>46360</v>
      </c>
      <c r="G86" s="13" t="s">
        <v>57</v>
      </c>
      <c r="H86" s="18" t="n">
        <f aca="false">IF(G86="Complete",1,IF(OR(G86="Not Started",K86="Milestone",AsOf&lt;E86),0,MIN(0.9,MAX(0,(AsOf-E86+1)/(F86-E86+1)))))</f>
        <v>0</v>
      </c>
      <c r="I86" s="15" t="s">
        <v>261</v>
      </c>
      <c r="J86" s="15" t="s">
        <v>269</v>
      </c>
      <c r="K86" s="13" t="s">
        <v>2</v>
      </c>
    </row>
    <row r="87" customFormat="false" ht="15.75" hidden="false" customHeight="true" outlineLevel="0" collapsed="false">
      <c r="A87" s="8" t="s">
        <v>270</v>
      </c>
      <c r="B87" s="9" t="s">
        <v>271</v>
      </c>
      <c r="C87" s="9"/>
      <c r="D87" s="10" t="n">
        <f aca="false">IF(OR(E87="",F87=""),"",F87-E87+1)</f>
        <v>40</v>
      </c>
      <c r="E87" s="11" t="n">
        <f aca="false">MIN(E88:E92)</f>
        <v>46349</v>
      </c>
      <c r="F87" s="11" t="n">
        <f aca="false">MAX(F88:F92)</f>
        <v>46388</v>
      </c>
      <c r="G87" s="8" t="str">
        <f aca="false">IF(COUNTIF(G88:G92,"Blocked")&gt;0,"Blocked",IF(COUNTIF(G88:G92,"At Risk")&gt;0,"At Risk",IF(COUNTIF(G88:G92,"Complete")=ROWS(G88:G92),"Complete",IF(COUNTIF(G88:G92,"Not Started")=ROWS(G88:G92),"Not Started","On Track"))))</f>
        <v>Not Started</v>
      </c>
      <c r="H87" s="12" t="n">
        <f aca="false">IFERROR(SUMPRODUCT(D88:D92,H88:H92)/SUM(D88:D92),0)</f>
        <v>0</v>
      </c>
      <c r="I87" s="9"/>
      <c r="J87" s="9"/>
      <c r="K87" s="8" t="s">
        <v>14</v>
      </c>
    </row>
    <row r="88" customFormat="false" ht="15.75" hidden="false" customHeight="true" outlineLevel="1" collapsed="false">
      <c r="A88" s="13" t="s">
        <v>272</v>
      </c>
      <c r="B88" s="14" t="s">
        <v>273</v>
      </c>
      <c r="C88" s="15" t="s">
        <v>22</v>
      </c>
      <c r="D88" s="16" t="n">
        <f aca="false">IF(K88="Milestone",0,F88-E88+1)</f>
        <v>12</v>
      </c>
      <c r="E88" s="17" t="n">
        <v>46349</v>
      </c>
      <c r="F88" s="17" t="n">
        <v>46360</v>
      </c>
      <c r="G88" s="13" t="s">
        <v>57</v>
      </c>
      <c r="H88" s="18" t="n">
        <f aca="false">IF(G88="Complete",1,IF(OR(G88="Not Started",K88="Milestone",AsOf&lt;E88),0,MIN(0.9,MAX(0,(AsOf-E88+1)/(F88-E88+1)))))</f>
        <v>0</v>
      </c>
      <c r="I88" s="15" t="s">
        <v>246</v>
      </c>
      <c r="J88" s="15" t="s">
        <v>274</v>
      </c>
      <c r="K88" s="13" t="s">
        <v>2</v>
      </c>
    </row>
    <row r="89" customFormat="false" ht="15.75" hidden="false" customHeight="true" outlineLevel="1" collapsed="false">
      <c r="A89" s="13" t="s">
        <v>275</v>
      </c>
      <c r="B89" s="14" t="s">
        <v>276</v>
      </c>
      <c r="C89" s="15" t="s">
        <v>22</v>
      </c>
      <c r="D89" s="16" t="n">
        <f aca="false">IF(K89="Milestone",0,F89-E89+1)</f>
        <v>5</v>
      </c>
      <c r="E89" s="17" t="n">
        <v>46356</v>
      </c>
      <c r="F89" s="17" t="n">
        <v>46360</v>
      </c>
      <c r="G89" s="13" t="s">
        <v>57</v>
      </c>
      <c r="H89" s="18" t="n">
        <f aca="false">IF(G89="Complete",1,IF(OR(G89="Not Started",K89="Milestone",AsOf&lt;E89),0,MIN(0.9,MAX(0,(AsOf-E89+1)/(F89-E89+1)))))</f>
        <v>0</v>
      </c>
      <c r="I89" s="15" t="s">
        <v>255</v>
      </c>
      <c r="J89" s="15" t="s">
        <v>277</v>
      </c>
      <c r="K89" s="13" t="s">
        <v>2</v>
      </c>
    </row>
    <row r="90" customFormat="false" ht="15.75" hidden="false" customHeight="true" outlineLevel="1" collapsed="false">
      <c r="A90" s="13" t="s">
        <v>278</v>
      </c>
      <c r="B90" s="14" t="s">
        <v>279</v>
      </c>
      <c r="C90" s="15" t="s">
        <v>17</v>
      </c>
      <c r="D90" s="16" t="n">
        <f aca="false">IF(K90="Milestone",0,F90-E90+1)</f>
        <v>40</v>
      </c>
      <c r="E90" s="17" t="n">
        <v>46349</v>
      </c>
      <c r="F90" s="17" t="n">
        <v>46388</v>
      </c>
      <c r="G90" s="13" t="s">
        <v>57</v>
      </c>
      <c r="H90" s="18" t="n">
        <f aca="false">IF(G90="Complete",1,IF(OR(G90="Not Started",K90="Milestone",AsOf&lt;E90),0,MIN(0.9,MAX(0,(AsOf-E90+1)/(F90-E90+1)))))</f>
        <v>0</v>
      </c>
      <c r="I90" s="15" t="s">
        <v>249</v>
      </c>
      <c r="J90" s="15" t="s">
        <v>280</v>
      </c>
      <c r="K90" s="13" t="s">
        <v>2</v>
      </c>
    </row>
    <row r="91" customFormat="false" ht="15.75" hidden="false" customHeight="true" outlineLevel="1" collapsed="false">
      <c r="A91" s="13" t="s">
        <v>281</v>
      </c>
      <c r="B91" s="14" t="s">
        <v>282</v>
      </c>
      <c r="C91" s="15" t="s">
        <v>56</v>
      </c>
      <c r="D91" s="16" t="n">
        <f aca="false">IF(K91="Milestone",0,F91-E91+1)</f>
        <v>25</v>
      </c>
      <c r="E91" s="17" t="n">
        <v>46363</v>
      </c>
      <c r="F91" s="17" t="n">
        <v>46387</v>
      </c>
      <c r="G91" s="13" t="s">
        <v>57</v>
      </c>
      <c r="H91" s="18" t="n">
        <f aca="false">IF(G91="Complete",1,IF(OR(G91="Not Started",K91="Milestone",AsOf&lt;E91),0,MIN(0.9,MAX(0,(AsOf-E91+1)/(F91-E91+1)))))</f>
        <v>0</v>
      </c>
      <c r="I91" s="15" t="s">
        <v>255</v>
      </c>
      <c r="J91" s="15" t="s">
        <v>283</v>
      </c>
      <c r="K91" s="13" t="s">
        <v>2</v>
      </c>
    </row>
    <row r="92" customFormat="false" ht="15.75" hidden="false" customHeight="true" outlineLevel="1" collapsed="false">
      <c r="A92" s="13" t="s">
        <v>284</v>
      </c>
      <c r="B92" s="14" t="s">
        <v>285</v>
      </c>
      <c r="C92" s="15" t="s">
        <v>22</v>
      </c>
      <c r="D92" s="16" t="n">
        <f aca="false">IF(K92="Milestone",0,F92-E92+1)</f>
        <v>1</v>
      </c>
      <c r="E92" s="17" t="n">
        <v>46388</v>
      </c>
      <c r="F92" s="17" t="n">
        <v>46388</v>
      </c>
      <c r="G92" s="13" t="s">
        <v>57</v>
      </c>
      <c r="H92" s="18" t="n">
        <f aca="false">IF(G92="Complete",1,IF(OR(G92="Not Started",K92="Milestone",AsOf&lt;E92),0,MIN(0.9,MAX(0,(AsOf-E92+1)/(F92-E92+1)))))</f>
        <v>0</v>
      </c>
      <c r="I92" s="15"/>
      <c r="J92" s="15" t="s">
        <v>286</v>
      </c>
      <c r="K92" s="13" t="s">
        <v>2</v>
      </c>
    </row>
    <row r="94" customFormat="false" ht="15" hidden="false" customHeight="false" outlineLevel="0" collapsed="false">
      <c r="B94" s="26" t="s">
        <v>287</v>
      </c>
    </row>
    <row r="95" customFormat="false" ht="15" hidden="false" customHeight="false" outlineLevel="0" collapsed="false">
      <c r="A95" s="27"/>
      <c r="B95" s="28" t="s">
        <v>288</v>
      </c>
    </row>
    <row r="96" customFormat="false" ht="15" hidden="false" customHeight="false" outlineLevel="0" collapsed="false">
      <c r="A96" s="29"/>
      <c r="B96" s="28" t="s">
        <v>18</v>
      </c>
    </row>
    <row r="97" customFormat="false" ht="15" hidden="false" customHeight="false" outlineLevel="0" collapsed="false">
      <c r="A97" s="30"/>
      <c r="B97" s="28" t="s">
        <v>289</v>
      </c>
    </row>
    <row r="98" customFormat="false" ht="15" hidden="false" customHeight="false" outlineLevel="0" collapsed="false">
      <c r="A98" s="31"/>
      <c r="B98" s="28" t="s">
        <v>290</v>
      </c>
    </row>
    <row r="99" customFormat="false" ht="15" hidden="false" customHeight="false" outlineLevel="0" collapsed="false">
      <c r="A99" s="32"/>
      <c r="B99" s="28" t="s">
        <v>291</v>
      </c>
    </row>
    <row r="100" customFormat="false" ht="15" hidden="false" customHeight="false" outlineLevel="0" collapsed="false">
      <c r="A100" s="33"/>
      <c r="B100" s="28" t="s">
        <v>292</v>
      </c>
    </row>
    <row r="101" customFormat="false" ht="15" hidden="false" customHeight="false" outlineLevel="0" collapsed="false">
      <c r="A101" s="34"/>
      <c r="B101" s="28" t="s">
        <v>293</v>
      </c>
    </row>
    <row r="102" customFormat="false" ht="15" hidden="false" customHeight="false" outlineLevel="0" collapsed="false">
      <c r="A102" s="35"/>
      <c r="B102" s="28" t="s">
        <v>294</v>
      </c>
    </row>
    <row r="103" customFormat="false" ht="15" hidden="false" customHeight="false" outlineLevel="0" collapsed="false">
      <c r="A103" s="36"/>
      <c r="B103" s="28" t="s">
        <v>295</v>
      </c>
    </row>
    <row r="104" customFormat="false" ht="15" hidden="false" customHeight="false" outlineLevel="0" collapsed="false">
      <c r="A104" s="37" t="s">
        <v>296</v>
      </c>
      <c r="B104" s="28" t="s">
        <v>297</v>
      </c>
    </row>
    <row r="105" customFormat="false" ht="15" hidden="false" customHeight="false" outlineLevel="0" collapsed="false">
      <c r="B105" s="2" t="s">
        <v>298</v>
      </c>
    </row>
  </sheetData>
  <autoFilter ref="A4:K92"/>
  <mergeCells count="12">
    <mergeCell ref="L3:R3"/>
    <mergeCell ref="S3:Y3"/>
    <mergeCell ref="Z3:AF3"/>
    <mergeCell ref="AG3:AM3"/>
    <mergeCell ref="AN3:AT3"/>
    <mergeCell ref="AU3:BA3"/>
    <mergeCell ref="BB3:BH3"/>
    <mergeCell ref="BI3:BO3"/>
    <mergeCell ref="BP3:BV3"/>
    <mergeCell ref="BW3:CC3"/>
    <mergeCell ref="CD3:CJ3"/>
    <mergeCell ref="CK3:CQ3"/>
  </mergeCells>
  <conditionalFormatting sqref="G5:G92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conditionalFormatting sqref="F5:F92">
    <cfRule type="expression" priority="7" aboveAverage="0" equalAverage="0" bottom="0" percent="0" rank="0" text="" dxfId="15">
      <formula>AND($K5&lt;&gt;"Summary",$G5&lt;&gt;"Complete",ISNUMBER($F5),$F5&lt;AsOf)</formula>
    </cfRule>
  </conditionalFormatting>
  <conditionalFormatting sqref="L5:CQ92">
    <cfRule type="expression" priority="8" aboveAverage="0" equalAverage="0" bottom="0" percent="0" rank="0" text="" dxfId="16">
      <formula>AND($K5="Milestone",$G5="Complete",L$4=$E5)</formula>
    </cfRule>
    <cfRule type="expression" priority="9" aboveAverage="0" equalAverage="0" bottom="0" percent="0" rank="0" text="" dxfId="17">
      <formula>AND($K5="Milestone",L$4=$E5)</formula>
    </cfRule>
    <cfRule type="expression" priority="10" aboveAverage="0" equalAverage="0" bottom="0" percent="0" rank="0" text="" dxfId="18">
      <formula>AND($K5="Summary",AND(L$4&gt;=$E5,L$4&lt;=$F5))</formula>
    </cfRule>
    <cfRule type="expression" priority="11" aboveAverage="0" equalAverage="0" bottom="0" percent="0" rank="0" text="" dxfId="19">
      <formula>AND($G5="Complete",AND(L$4&gt;=$E5,L$4&lt;=$F5))</formula>
    </cfRule>
    <cfRule type="expression" priority="12" aboveAverage="0" equalAverage="0" bottom="0" percent="0" rank="0" text="" dxfId="20">
      <formula>AND($G5="On Track",AND(L$4&gt;=$E5,L$4&lt;=$F5),L$4&lt;=AsOf)</formula>
    </cfRule>
    <cfRule type="expression" priority="13" aboveAverage="0" equalAverage="0" bottom="0" percent="0" rank="0" text="" dxfId="21">
      <formula>AND($G5="On Track",AND(L$4&gt;=$E5,L$4&lt;=$F5))</formula>
    </cfRule>
    <cfRule type="expression" priority="14" aboveAverage="0" equalAverage="0" bottom="0" percent="0" rank="0" text="" dxfId="22">
      <formula>AND($G5="At Risk",AND(L$4&gt;=$E5,L$4&lt;=$F5))</formula>
    </cfRule>
    <cfRule type="expression" priority="15" aboveAverage="0" equalAverage="0" bottom="0" percent="0" rank="0" text="" dxfId="23">
      <formula>AND($G5="Blocked",AND(L$4&gt;=$E5,L$4&lt;=$F5))</formula>
    </cfRule>
    <cfRule type="expression" priority="16" aboveAverage="0" equalAverage="0" bottom="0" percent="0" rank="0" text="" dxfId="24">
      <formula>AND($K5="Task",AND(L$4&gt;=$E5,L$4&lt;=$F5))</formula>
    </cfRule>
    <cfRule type="expression" priority="17" aboveAverage="0" equalAverage="0" bottom="0" percent="0" rank="0" text="" dxfId="25">
      <formula>L$4=AsOf</formula>
    </cfRule>
    <cfRule type="expression" priority="18" aboveAverage="0" equalAverage="0" bottom="0" percent="0" rank="0" text="" dxfId="26">
      <formula>WEEKDAY(L$4,2)&gt;5</formula>
    </cfRule>
  </conditionalFormatting>
  <conditionalFormatting sqref="L4:CQ4">
    <cfRule type="expression" priority="19" aboveAverage="0" equalAverage="0" bottom="0" percent="0" rank="0" text="" dxfId="27">
      <formula>L$4=AsOf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6:G9 G11:G29 G31:G41 G43:G53 G55:G67 G69:G76 G78:G82 G84:G86 G88:G92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" t="s">
        <v>299</v>
      </c>
    </row>
    <row r="2" customFormat="false" ht="15" hidden="false" customHeight="false" outlineLevel="0" collapsed="false">
      <c r="A2" s="38" t="s">
        <v>300</v>
      </c>
    </row>
    <row r="4" customFormat="false" ht="15" hidden="false" customHeight="false" outlineLevel="0" collapsed="false">
      <c r="A4" s="39" t="s">
        <v>301</v>
      </c>
      <c r="B4" s="39" t="s">
        <v>302</v>
      </c>
    </row>
    <row r="5" customFormat="false" ht="15" hidden="false" customHeight="false" outlineLevel="0" collapsed="false">
      <c r="A5" s="40" t="s">
        <v>303</v>
      </c>
      <c r="B5" s="41" t="n">
        <v>46313</v>
      </c>
    </row>
    <row r="6" customFormat="false" ht="15" hidden="false" customHeight="false" outlineLevel="0" collapsed="false">
      <c r="A6" s="40" t="s">
        <v>304</v>
      </c>
      <c r="B6" s="42" t="s">
        <v>40</v>
      </c>
    </row>
    <row r="7" customFormat="false" ht="30" hidden="false" customHeight="true" outlineLevel="0" collapsed="false">
      <c r="A7" s="40" t="s">
        <v>305</v>
      </c>
      <c r="B7" s="43" t="s">
        <v>306</v>
      </c>
    </row>
    <row r="8" customFormat="false" ht="15" hidden="false" customHeight="false" outlineLevel="0" collapsed="false">
      <c r="A8" s="40" t="s">
        <v>307</v>
      </c>
      <c r="B8" s="42" t="s">
        <v>308</v>
      </c>
    </row>
    <row r="9" customFormat="false" ht="15" hidden="false" customHeight="false" outlineLevel="0" collapsed="false">
      <c r="A9" s="40" t="s">
        <v>309</v>
      </c>
      <c r="B9" s="42" t="s">
        <v>310</v>
      </c>
    </row>
    <row r="10" customFormat="false" ht="15" hidden="false" customHeight="false" outlineLevel="0" collapsed="false">
      <c r="A10" s="40" t="s">
        <v>311</v>
      </c>
      <c r="B10" s="42" t="s">
        <v>312</v>
      </c>
    </row>
    <row r="11" customFormat="false" ht="15" hidden="false" customHeight="false" outlineLevel="0" collapsed="false">
      <c r="A11" s="40" t="s">
        <v>313</v>
      </c>
      <c r="B11" s="42" t="s">
        <v>314</v>
      </c>
    </row>
    <row r="12" customFormat="false" ht="15" hidden="false" customHeight="false" outlineLevel="0" collapsed="false">
      <c r="A12" s="40" t="s">
        <v>315</v>
      </c>
      <c r="B12" s="44" t="s">
        <v>316</v>
      </c>
    </row>
    <row r="13" customFormat="false" ht="15" hidden="false" customHeight="false" outlineLevel="0" collapsed="false">
      <c r="A13" s="40" t="s">
        <v>317</v>
      </c>
      <c r="B13" s="44" t="s">
        <v>318</v>
      </c>
    </row>
    <row r="14" customFormat="false" ht="15" hidden="false" customHeight="false" outlineLevel="0" collapsed="false">
      <c r="A14" s="40" t="s">
        <v>319</v>
      </c>
      <c r="B14" s="44" t="s">
        <v>320</v>
      </c>
    </row>
    <row r="15" customFormat="false" ht="15" hidden="false" customHeight="false" outlineLevel="0" collapsed="false">
      <c r="A15" s="40" t="s">
        <v>321</v>
      </c>
      <c r="B15" s="44" t="s">
        <v>322</v>
      </c>
    </row>
    <row r="16" customFormat="false" ht="15" hidden="false" customHeight="false" outlineLevel="0" collapsed="false">
      <c r="A16" s="40" t="s">
        <v>323</v>
      </c>
      <c r="B16" s="45" t="n">
        <v>46388</v>
      </c>
    </row>
    <row r="18" customFormat="false" ht="15" hidden="false" customHeight="false" outlineLevel="0" collapsed="false">
      <c r="A18" s="46" t="s">
        <v>324</v>
      </c>
    </row>
    <row r="19" customFormat="false" ht="30" hidden="false" customHeight="true" outlineLevel="0" collapsed="false">
      <c r="A19" s="47" t="s">
        <v>3</v>
      </c>
      <c r="B19" s="47" t="s">
        <v>325</v>
      </c>
      <c r="C19" s="47" t="s">
        <v>7</v>
      </c>
      <c r="D19" s="47" t="s">
        <v>326</v>
      </c>
    </row>
    <row r="20" customFormat="false" ht="15" hidden="false" customHeight="false" outlineLevel="0" collapsed="false">
      <c r="A20" s="48" t="s">
        <v>22</v>
      </c>
      <c r="B20" s="49" t="s">
        <v>321</v>
      </c>
      <c r="C20" s="50" t="s">
        <v>40</v>
      </c>
      <c r="D20" s="49" t="s">
        <v>327</v>
      </c>
    </row>
    <row r="21" customFormat="false" ht="15" hidden="false" customHeight="false" outlineLevel="0" collapsed="false">
      <c r="A21" s="48" t="s">
        <v>17</v>
      </c>
      <c r="B21" s="49" t="s">
        <v>328</v>
      </c>
      <c r="C21" s="50" t="s">
        <v>40</v>
      </c>
      <c r="D21" s="49" t="s">
        <v>329</v>
      </c>
    </row>
    <row r="22" customFormat="false" ht="15" hidden="false" customHeight="false" outlineLevel="0" collapsed="false">
      <c r="A22" s="48" t="s">
        <v>39</v>
      </c>
      <c r="B22" s="49" t="s">
        <v>330</v>
      </c>
      <c r="C22" s="50" t="s">
        <v>40</v>
      </c>
      <c r="D22" s="49" t="s">
        <v>331</v>
      </c>
    </row>
    <row r="23" customFormat="false" ht="15" hidden="false" customHeight="false" outlineLevel="0" collapsed="false">
      <c r="A23" s="48" t="s">
        <v>26</v>
      </c>
      <c r="B23" s="49" t="s">
        <v>332</v>
      </c>
      <c r="C23" s="50" t="s">
        <v>40</v>
      </c>
      <c r="D23" s="49" t="s">
        <v>333</v>
      </c>
    </row>
    <row r="25" customFormat="false" ht="15" hidden="false" customHeight="false" outlineLevel="0" collapsed="false">
      <c r="A25" s="46" t="s">
        <v>334</v>
      </c>
    </row>
    <row r="26" customFormat="false" ht="30" hidden="false" customHeight="true" outlineLevel="0" collapsed="false">
      <c r="A26" s="47" t="s">
        <v>335</v>
      </c>
      <c r="B26" s="47" t="s">
        <v>336</v>
      </c>
      <c r="C26" s="47" t="s">
        <v>337</v>
      </c>
      <c r="D26" s="47" t="s">
        <v>338</v>
      </c>
    </row>
    <row r="27" customFormat="false" ht="15" hidden="false" customHeight="false" outlineLevel="0" collapsed="false">
      <c r="A27" s="51" t="s">
        <v>339</v>
      </c>
      <c r="B27" s="49" t="s">
        <v>340</v>
      </c>
      <c r="C27" s="52" t="n">
        <v>46315</v>
      </c>
      <c r="D27" s="49" t="s">
        <v>341</v>
      </c>
    </row>
    <row r="28" customFormat="false" ht="15" hidden="false" customHeight="false" outlineLevel="0" collapsed="false">
      <c r="A28" s="51" t="s">
        <v>342</v>
      </c>
      <c r="B28" s="49" t="s">
        <v>343</v>
      </c>
      <c r="C28" s="52" t="n">
        <v>46317</v>
      </c>
      <c r="D28" s="49" t="s">
        <v>344</v>
      </c>
    </row>
    <row r="30" customFormat="false" ht="15" hidden="false" customHeight="false" outlineLevel="0" collapsed="false">
      <c r="A30" s="46" t="s">
        <v>345</v>
      </c>
    </row>
    <row r="31" customFormat="false" ht="15" hidden="false" customHeight="false" outlineLevel="0" collapsed="false">
      <c r="A31" s="53" t="s">
        <v>346</v>
      </c>
      <c r="B31" s="54" t="n">
        <f aca="false">COUNTIFS(Schedule!$K$5:$K$300,"&lt;&gt;Summary",Schedule!$K$5:$K$300,"&lt;&gt;")</f>
        <v>79</v>
      </c>
    </row>
    <row r="32" customFormat="false" ht="15" hidden="false" customHeight="false" outlineLevel="0" collapsed="false">
      <c r="A32" s="53" t="s">
        <v>18</v>
      </c>
      <c r="B32" s="54" t="n">
        <f aca="false">COUNTIFS(Schedule!$K$5:$K$300,"&lt;&gt;Summary",Schedule!$G$5:$G$300,"Complete")</f>
        <v>8</v>
      </c>
    </row>
    <row r="33" customFormat="false" ht="15" hidden="false" customHeight="false" outlineLevel="0" collapsed="false">
      <c r="A33" s="53" t="s">
        <v>40</v>
      </c>
      <c r="B33" s="54" t="n">
        <f aca="false">COUNTIFS(Schedule!$K$5:$K$300,"&lt;&gt;Summary",Schedule!$G$5:$G$300,"On Track")</f>
        <v>2</v>
      </c>
    </row>
    <row r="34" customFormat="false" ht="15" hidden="false" customHeight="false" outlineLevel="0" collapsed="false">
      <c r="A34" s="53" t="s">
        <v>57</v>
      </c>
      <c r="B34" s="54" t="n">
        <f aca="false">COUNTIFS(Schedule!$K$5:$K$300,"&lt;&gt;Summary",Schedule!$G$5:$G$300,"Not Started")</f>
        <v>69</v>
      </c>
    </row>
    <row r="35" customFormat="false" ht="15" hidden="false" customHeight="false" outlineLevel="0" collapsed="false">
      <c r="A35" s="53" t="s">
        <v>347</v>
      </c>
      <c r="B35" s="54" t="n">
        <f aca="false">COUNTIFS(Schedule!$K$5:$K$300,"&lt;&gt;Summary",Schedule!$G$5:$G$300,"At Risk")</f>
        <v>0</v>
      </c>
    </row>
    <row r="36" customFormat="false" ht="15" hidden="false" customHeight="false" outlineLevel="0" collapsed="false">
      <c r="A36" s="53" t="s">
        <v>293</v>
      </c>
      <c r="B36" s="54" t="n">
        <f aca="false">COUNTIFS(Schedule!$K$5:$K$300,"&lt;&gt;Summary",Schedule!$G$5:$G$300,"Blocked")</f>
        <v>0</v>
      </c>
    </row>
    <row r="37" customFormat="false" ht="15" hidden="false" customHeight="false" outlineLevel="0" collapsed="false">
      <c r="A37" s="53" t="s">
        <v>348</v>
      </c>
      <c r="B37" s="54" t="n">
        <f aca="false">SUMPRODUCT((Schedule!$K$5:$K$300&lt;&gt;"Summary")*(Schedule!$K$5:$K$300&lt;&gt;"")*(Schedule!$G$5:$G$300&lt;&gt;"Complete")*(Schedule!$F$5:$F$300&lt;AsOf))</f>
        <v>0</v>
      </c>
    </row>
    <row r="38" customFormat="false" ht="15" hidden="false" customHeight="false" outlineLevel="0" collapsed="false">
      <c r="A38" s="53" t="s">
        <v>349</v>
      </c>
      <c r="B38" s="55" t="n">
        <f aca="false">_xlfn.MINIFS(Schedule!$E$5:$E$300,Schedule!$K$5:$K$300,"Milestone",Schedule!$G$5:$G$300,"&lt;&gt;Complete",Schedule!$E$5:$E$300,"&gt;="&amp;AsOf)</f>
        <v>46317</v>
      </c>
    </row>
    <row r="39" customFormat="false" ht="15" hidden="false" customHeight="false" outlineLevel="0" collapsed="false">
      <c r="A39" s="53" t="s">
        <v>350</v>
      </c>
      <c r="B39" s="54" t="str">
        <f aca="false">IFERROR(INDEX(Schedule!$B$5:$B$300,MATCH(1,INDEX((Schedule!$E$5:$E$300=B38)*(Schedule!$K$5:$K$300="Milestone"),0),0)),"")</f>
        <v>◆ G0 Ready for Sandbox</v>
      </c>
    </row>
  </sheetData>
  <conditionalFormatting sqref="B6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conditionalFormatting sqref="C20:C29">
    <cfRule type="cellIs" priority="7" operator="equal" aboveAverage="0" equalAverage="0" bottom="0" percent="0" rank="0" text="" dxfId="10">
      <formula>"Not Started"</formula>
    </cfRule>
    <cfRule type="cellIs" priority="8" operator="equal" aboveAverage="0" equalAverage="0" bottom="0" percent="0" rank="0" text="" dxfId="11">
      <formula>"On Track"</formula>
    </cfRule>
    <cfRule type="cellIs" priority="9" operator="equal" aboveAverage="0" equalAverage="0" bottom="0" percent="0" rank="0" text="" dxfId="12">
      <formula>"Complete"</formula>
    </cfRule>
    <cfRule type="cellIs" priority="10" operator="equal" aboveAverage="0" equalAverage="0" bottom="0" percent="0" rank="0" text="" dxfId="13">
      <formula>"At Risk"</formula>
    </cfRule>
    <cfRule type="cellIs" priority="11" operator="equal" aboveAverage="0" equalAverage="0" bottom="0" percent="0" rank="0" text="" dxfId="14">
      <formula>"Blocked"</formula>
    </cfRule>
  </conditionalFormatting>
  <dataValidations count="2">
    <dataValidation allowBlank="false" error="Choose Not Started, On Track, Complete, At Risk or Blocked" errorStyle="stop" errorTitle="Status" operator="between" showDropDown="false" showErrorMessage="true" showInputMessage="false" sqref="B6" type="list">
      <formula1>Lists!$A$2:$A$6</formula1>
      <formula2>0</formula2>
    </dataValidation>
    <dataValidation allowBlank="false" error="Choose Not Started, On Track, Complete, At Risk or Blocked" errorStyle="stop" errorTitle="Status" operator="between" showDropDown="false" showErrorMessage="true" showInputMessage="false" sqref="C20:C29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144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24" hidden="false" customHeight="true" outlineLevel="0" collapsed="false">
      <c r="A1" s="1" t="s">
        <v>351</v>
      </c>
    </row>
    <row r="2" customFormat="false" ht="15" hidden="false" customHeight="false" outlineLevel="0" collapsed="false">
      <c r="A2" s="38" t="s">
        <v>352</v>
      </c>
    </row>
    <row r="4" customFormat="false" ht="30" hidden="false" customHeight="true" outlineLevel="0" collapsed="false">
      <c r="A4" s="47" t="s">
        <v>1</v>
      </c>
      <c r="B4" s="47" t="s">
        <v>353</v>
      </c>
      <c r="C4" s="47" t="s">
        <v>31</v>
      </c>
      <c r="D4" s="47" t="s">
        <v>11</v>
      </c>
      <c r="E4" s="47" t="s">
        <v>354</v>
      </c>
      <c r="F4" s="47" t="s">
        <v>355</v>
      </c>
      <c r="G4" s="47" t="s">
        <v>7</v>
      </c>
      <c r="H4" s="47" t="s">
        <v>356</v>
      </c>
    </row>
    <row r="5" customFormat="false" ht="22.35" hidden="false" customHeight="false" outlineLevel="0" collapsed="false">
      <c r="A5" s="48" t="s">
        <v>98</v>
      </c>
      <c r="B5" s="56" t="n">
        <v>46317</v>
      </c>
      <c r="C5" s="48" t="s">
        <v>357</v>
      </c>
      <c r="D5" s="48" t="s">
        <v>358</v>
      </c>
      <c r="E5" s="48" t="s">
        <v>359</v>
      </c>
      <c r="F5" s="48" t="s">
        <v>360</v>
      </c>
      <c r="G5" s="57" t="str">
        <f aca="false">IFERROR(INDEX(Schedule!$G$5:$G$300,MATCH($H5,Schedule!$A$5:$A$300,0)),"Not Started")</f>
        <v>Not Started</v>
      </c>
      <c r="H5" s="57" t="s">
        <v>95</v>
      </c>
    </row>
    <row r="6" customFormat="false" ht="15" hidden="false" customHeight="false" outlineLevel="0" collapsed="false">
      <c r="A6" s="48" t="s">
        <v>361</v>
      </c>
      <c r="B6" s="56" t="n">
        <v>46319</v>
      </c>
      <c r="C6" s="48" t="s">
        <v>362</v>
      </c>
      <c r="D6" s="48" t="s">
        <v>317</v>
      </c>
      <c r="E6" s="48" t="s">
        <v>363</v>
      </c>
      <c r="F6" s="48" t="s">
        <v>364</v>
      </c>
      <c r="G6" s="57" t="str">
        <f aca="false">IFERROR(INDEX(Schedule!$G$5:$G$300,MATCH($H6,Schedule!$A$5:$A$300,0)),"Not Started")</f>
        <v>Not Started</v>
      </c>
      <c r="H6" s="57" t="s">
        <v>112</v>
      </c>
    </row>
    <row r="7" customFormat="false" ht="22.35" hidden="false" customHeight="false" outlineLevel="0" collapsed="false">
      <c r="A7" s="48" t="s">
        <v>136</v>
      </c>
      <c r="B7" s="56" t="n">
        <v>46324</v>
      </c>
      <c r="C7" s="48" t="s">
        <v>365</v>
      </c>
      <c r="D7" s="48" t="s">
        <v>358</v>
      </c>
      <c r="E7" s="48" t="s">
        <v>366</v>
      </c>
      <c r="F7" s="48" t="s">
        <v>360</v>
      </c>
      <c r="G7" s="57" t="str">
        <f aca="false">IFERROR(INDEX(Schedule!$G$5:$G$300,MATCH($H7,Schedule!$A$5:$A$300,0)),"Not Started")</f>
        <v>Not Started</v>
      </c>
      <c r="H7" s="57" t="s">
        <v>133</v>
      </c>
    </row>
    <row r="8" customFormat="false" ht="15" hidden="false" customHeight="false" outlineLevel="0" collapsed="false">
      <c r="A8" s="48" t="s">
        <v>367</v>
      </c>
      <c r="B8" s="56" t="n">
        <v>46326</v>
      </c>
      <c r="C8" s="48" t="s">
        <v>368</v>
      </c>
      <c r="D8" s="48" t="s">
        <v>317</v>
      </c>
      <c r="E8" s="48" t="s">
        <v>369</v>
      </c>
      <c r="F8" s="48" t="s">
        <v>364</v>
      </c>
      <c r="G8" s="57" t="str">
        <f aca="false">IFERROR(INDEX(Schedule!$G$5:$G$300,MATCH($H8,Schedule!$A$5:$A$300,0)),"Not Started")</f>
        <v>Not Started</v>
      </c>
      <c r="H8" s="57" t="s">
        <v>148</v>
      </c>
    </row>
    <row r="9" customFormat="false" ht="15" hidden="false" customHeight="false" outlineLevel="0" collapsed="false">
      <c r="A9" s="48" t="s">
        <v>171</v>
      </c>
      <c r="B9" s="56" t="n">
        <v>46330</v>
      </c>
      <c r="C9" s="48" t="s">
        <v>370</v>
      </c>
      <c r="D9" s="48" t="s">
        <v>358</v>
      </c>
      <c r="E9" s="48" t="s">
        <v>371</v>
      </c>
      <c r="F9" s="48" t="s">
        <v>360</v>
      </c>
      <c r="G9" s="57" t="str">
        <f aca="false">IFERROR(INDEX(Schedule!$G$5:$G$300,MATCH($H9,Schedule!$A$5:$A$300,0)),"Not Started")</f>
        <v>Not Started</v>
      </c>
      <c r="H9" s="57" t="s">
        <v>168</v>
      </c>
    </row>
    <row r="10" customFormat="false" ht="15" hidden="false" customHeight="false" outlineLevel="0" collapsed="false">
      <c r="A10" s="48" t="s">
        <v>372</v>
      </c>
      <c r="B10" s="56" t="n">
        <v>46332</v>
      </c>
      <c r="C10" s="48" t="s">
        <v>373</v>
      </c>
      <c r="D10" s="48" t="s">
        <v>315</v>
      </c>
      <c r="E10" s="48" t="s">
        <v>374</v>
      </c>
      <c r="F10" s="48" t="s">
        <v>315</v>
      </c>
      <c r="G10" s="58" t="s">
        <v>57</v>
      </c>
      <c r="H10" s="57" t="s">
        <v>375</v>
      </c>
    </row>
    <row r="11" customFormat="false" ht="15" hidden="false" customHeight="false" outlineLevel="0" collapsed="false">
      <c r="A11" s="48" t="s">
        <v>376</v>
      </c>
      <c r="B11" s="56" t="n">
        <v>46333</v>
      </c>
      <c r="C11" s="48" t="s">
        <v>377</v>
      </c>
      <c r="D11" s="48" t="s">
        <v>317</v>
      </c>
      <c r="E11" s="48" t="s">
        <v>378</v>
      </c>
      <c r="F11" s="48" t="s">
        <v>364</v>
      </c>
      <c r="G11" s="57" t="str">
        <f aca="false">IFERROR(INDEX(Schedule!$G$5:$G$300,MATCH($H11,Schedule!$A$5:$A$300,0)),"Not Started")</f>
        <v>Not Started</v>
      </c>
      <c r="H11" s="57" t="s">
        <v>186</v>
      </c>
    </row>
    <row r="12" customFormat="false" ht="22.35" hidden="false" customHeight="false" outlineLevel="0" collapsed="false">
      <c r="A12" s="48" t="s">
        <v>212</v>
      </c>
      <c r="B12" s="56" t="n">
        <v>46338</v>
      </c>
      <c r="C12" s="48" t="s">
        <v>379</v>
      </c>
      <c r="D12" s="48" t="s">
        <v>358</v>
      </c>
      <c r="E12" s="48" t="s">
        <v>380</v>
      </c>
      <c r="F12" s="48" t="s">
        <v>360</v>
      </c>
      <c r="G12" s="57" t="str">
        <f aca="false">IFERROR(INDEX(Schedule!$G$5:$G$300,MATCH($H12,Schedule!$A$5:$A$300,0)),"Not Started")</f>
        <v>Not Started</v>
      </c>
      <c r="H12" s="57" t="s">
        <v>209</v>
      </c>
    </row>
    <row r="13" customFormat="false" ht="15" hidden="false" customHeight="false" outlineLevel="0" collapsed="false">
      <c r="A13" s="48" t="s">
        <v>381</v>
      </c>
      <c r="B13" s="56" t="n">
        <v>46340</v>
      </c>
      <c r="C13" s="48" t="s">
        <v>382</v>
      </c>
      <c r="D13" s="48" t="s">
        <v>317</v>
      </c>
      <c r="E13" s="48" t="s">
        <v>383</v>
      </c>
      <c r="F13" s="48" t="s">
        <v>364</v>
      </c>
      <c r="G13" s="57" t="str">
        <f aca="false">IFERROR(INDEX(Schedule!$G$5:$G$300,MATCH($H13,Schedule!$A$5:$A$300,0)),"Not Started")</f>
        <v>Not Started</v>
      </c>
      <c r="H13" s="57" t="s">
        <v>222</v>
      </c>
    </row>
    <row r="14" customFormat="false" ht="15" hidden="false" customHeight="false" outlineLevel="0" collapsed="false">
      <c r="A14" s="48" t="s">
        <v>240</v>
      </c>
      <c r="B14" s="56" t="n">
        <v>46345</v>
      </c>
      <c r="C14" s="48" t="s">
        <v>384</v>
      </c>
      <c r="D14" s="48" t="s">
        <v>358</v>
      </c>
      <c r="E14" s="48" t="s">
        <v>385</v>
      </c>
      <c r="F14" s="48" t="s">
        <v>360</v>
      </c>
      <c r="G14" s="57" t="str">
        <f aca="false">IFERROR(INDEX(Schedule!$G$5:$G$300,MATCH($H14,Schedule!$A$5:$A$300,0)),"Not Started")</f>
        <v>Not Started</v>
      </c>
      <c r="H14" s="57" t="s">
        <v>237</v>
      </c>
    </row>
    <row r="15" customFormat="false" ht="15" hidden="false" customHeight="false" outlineLevel="0" collapsed="false">
      <c r="A15" s="48" t="s">
        <v>386</v>
      </c>
      <c r="B15" s="56" t="n">
        <v>46347</v>
      </c>
      <c r="C15" s="48" t="s">
        <v>387</v>
      </c>
      <c r="D15" s="48" t="s">
        <v>317</v>
      </c>
      <c r="E15" s="48" t="s">
        <v>388</v>
      </c>
      <c r="F15" s="48" t="s">
        <v>364</v>
      </c>
      <c r="G15" s="57" t="str">
        <f aca="false">IFERROR(INDEX(Schedule!$G$5:$G$300,MATCH($H15,Schedule!$A$5:$A$300,0)),"Not Started")</f>
        <v>Not Started</v>
      </c>
      <c r="H15" s="57" t="s">
        <v>246</v>
      </c>
    </row>
    <row r="16" customFormat="false" ht="15" hidden="false" customHeight="false" outlineLevel="0" collapsed="false">
      <c r="A16" s="48" t="s">
        <v>258</v>
      </c>
      <c r="B16" s="56" t="n">
        <v>46351</v>
      </c>
      <c r="C16" s="48" t="s">
        <v>389</v>
      </c>
      <c r="D16" s="48" t="s">
        <v>358</v>
      </c>
      <c r="E16" s="48" t="s">
        <v>390</v>
      </c>
      <c r="F16" s="48" t="s">
        <v>391</v>
      </c>
      <c r="G16" s="57" t="str">
        <f aca="false">IFERROR(INDEX(Schedule!$G$5:$G$300,MATCH($H16,Schedule!$A$5:$A$300,0)),"Not Started")</f>
        <v>Not Started</v>
      </c>
      <c r="H16" s="57" t="s">
        <v>255</v>
      </c>
    </row>
    <row r="17" customFormat="false" ht="15" hidden="false" customHeight="false" outlineLevel="0" collapsed="false">
      <c r="A17" s="48" t="s">
        <v>392</v>
      </c>
      <c r="B17" s="56" t="n">
        <v>46356</v>
      </c>
      <c r="C17" s="48" t="s">
        <v>393</v>
      </c>
      <c r="D17" s="48" t="s">
        <v>315</v>
      </c>
      <c r="E17" s="48" t="s">
        <v>394</v>
      </c>
      <c r="F17" s="48" t="s">
        <v>315</v>
      </c>
      <c r="G17" s="58" t="s">
        <v>57</v>
      </c>
      <c r="H17" s="57" t="s">
        <v>375</v>
      </c>
    </row>
    <row r="18" customFormat="false" ht="15" hidden="false" customHeight="false" outlineLevel="0" collapsed="false">
      <c r="A18" s="48" t="s">
        <v>395</v>
      </c>
      <c r="B18" s="56" t="n">
        <v>46359</v>
      </c>
      <c r="C18" s="48" t="s">
        <v>396</v>
      </c>
      <c r="D18" s="48" t="s">
        <v>317</v>
      </c>
      <c r="E18" s="48" t="s">
        <v>397</v>
      </c>
      <c r="F18" s="48" t="s">
        <v>364</v>
      </c>
      <c r="G18" s="57" t="str">
        <f aca="false">IFERROR(INDEX(Schedule!$G$5:$G$300,MATCH($H18,Schedule!$A$5:$A$300,0)),"Not Started")</f>
        <v>Not Started</v>
      </c>
      <c r="H18" s="57" t="s">
        <v>264</v>
      </c>
    </row>
    <row r="19" customFormat="false" ht="15" hidden="false" customHeight="false" outlineLevel="0" collapsed="false">
      <c r="A19" s="48" t="s">
        <v>398</v>
      </c>
      <c r="B19" s="56" t="n">
        <v>46363</v>
      </c>
      <c r="C19" s="48" t="s">
        <v>399</v>
      </c>
      <c r="D19" s="48" t="s">
        <v>315</v>
      </c>
      <c r="E19" s="48" t="s">
        <v>374</v>
      </c>
      <c r="F19" s="48" t="s">
        <v>315</v>
      </c>
      <c r="G19" s="58" t="s">
        <v>57</v>
      </c>
      <c r="H19" s="57" t="s">
        <v>375</v>
      </c>
    </row>
    <row r="20" customFormat="false" ht="15" hidden="false" customHeight="false" outlineLevel="0" collapsed="false">
      <c r="A20" s="48" t="s">
        <v>400</v>
      </c>
      <c r="B20" s="56" t="n">
        <v>46388</v>
      </c>
      <c r="C20" s="48" t="s">
        <v>323</v>
      </c>
      <c r="D20" s="48" t="s">
        <v>315</v>
      </c>
      <c r="E20" s="48" t="s">
        <v>374</v>
      </c>
      <c r="F20" s="48" t="s">
        <v>315</v>
      </c>
      <c r="G20" s="58" t="s">
        <v>57</v>
      </c>
      <c r="H20" s="57" t="s">
        <v>375</v>
      </c>
    </row>
    <row r="22" customFormat="false" ht="15" hidden="false" customHeight="false" outlineLevel="0" collapsed="false">
      <c r="A22" s="46" t="s">
        <v>401</v>
      </c>
      <c r="C22" s="28" t="s">
        <v>402</v>
      </c>
    </row>
    <row r="23" customFormat="false" ht="15" hidden="false" customHeight="false" outlineLevel="0" collapsed="false">
      <c r="A23" s="46" t="s">
        <v>403</v>
      </c>
      <c r="C23" s="28" t="s">
        <v>404</v>
      </c>
    </row>
  </sheetData>
  <autoFilter ref="A4:H20"/>
  <conditionalFormatting sqref="G5:G220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20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S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40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11"/>
  </cols>
  <sheetData>
    <row r="1" customFormat="false" ht="24" hidden="false" customHeight="true" outlineLevel="0" collapsed="false">
      <c r="A1" s="1" t="s">
        <v>405</v>
      </c>
    </row>
    <row r="2" customFormat="false" ht="15" hidden="false" customHeight="false" outlineLevel="0" collapsed="false">
      <c r="A2" s="38" t="s">
        <v>406</v>
      </c>
    </row>
    <row r="4" customFormat="false" ht="30" hidden="false" customHeight="true" outlineLevel="0" collapsed="false">
      <c r="A4" s="47" t="s">
        <v>1</v>
      </c>
      <c r="B4" s="47" t="s">
        <v>356</v>
      </c>
      <c r="C4" s="47" t="s">
        <v>288</v>
      </c>
      <c r="D4" s="47" t="s">
        <v>407</v>
      </c>
      <c r="E4" s="47" t="s">
        <v>2</v>
      </c>
      <c r="F4" s="47" t="s">
        <v>408</v>
      </c>
      <c r="G4" s="47" t="s">
        <v>5</v>
      </c>
      <c r="H4" s="47" t="s">
        <v>409</v>
      </c>
      <c r="I4" s="47" t="s">
        <v>410</v>
      </c>
      <c r="J4" s="47" t="s">
        <v>411</v>
      </c>
      <c r="K4" s="47" t="s">
        <v>412</v>
      </c>
      <c r="L4" s="47" t="s">
        <v>413</v>
      </c>
      <c r="M4" s="47" t="s">
        <v>414</v>
      </c>
      <c r="N4" s="47" t="s">
        <v>415</v>
      </c>
      <c r="O4" s="47" t="s">
        <v>7</v>
      </c>
      <c r="P4" s="47" t="s">
        <v>416</v>
      </c>
      <c r="Q4" s="47" t="s">
        <v>4</v>
      </c>
      <c r="R4" s="47" t="s">
        <v>348</v>
      </c>
      <c r="S4" s="47" t="s">
        <v>417</v>
      </c>
    </row>
    <row r="5" customFormat="false" ht="22.35" hidden="false" customHeight="false" outlineLevel="0" collapsed="false">
      <c r="A5" s="48" t="s">
        <v>418</v>
      </c>
      <c r="B5" s="59" t="s">
        <v>20</v>
      </c>
      <c r="C5" s="48" t="s">
        <v>419</v>
      </c>
      <c r="D5" s="48" t="s">
        <v>420</v>
      </c>
      <c r="E5" s="48" t="s">
        <v>421</v>
      </c>
      <c r="F5" s="48" t="s">
        <v>361</v>
      </c>
      <c r="G5" s="60" t="n">
        <v>46298</v>
      </c>
      <c r="H5" s="60" t="n">
        <v>46299</v>
      </c>
      <c r="I5" s="48" t="s">
        <v>22</v>
      </c>
      <c r="J5" s="48" t="s">
        <v>22</v>
      </c>
      <c r="K5" s="48" t="s">
        <v>26</v>
      </c>
      <c r="L5" s="48" t="s">
        <v>375</v>
      </c>
      <c r="M5" s="48" t="s">
        <v>422</v>
      </c>
      <c r="N5" s="48" t="s">
        <v>423</v>
      </c>
      <c r="O5" s="57" t="str">
        <f aca="false">IFERROR(INDEX(Schedule!$G$5:$G$300,MATCH($B5,Schedule!$A$5:$A$300,0)),"Not Started")</f>
        <v>Complete</v>
      </c>
      <c r="P5" s="49" t="s">
        <v>424</v>
      </c>
      <c r="Q5" s="59" t="n">
        <f aca="false">IF(AND(ISNUMBER(G5),ISNUMBER(H5)),H5-G5+1,"")</f>
        <v>2</v>
      </c>
      <c r="R5" s="61" t="str">
        <f aca="false">IF(AND(ISNUMBER(H5),O5&lt;&gt;"Complete",H5&lt;AsOf),"Overdue","")</f>
        <v/>
      </c>
      <c r="S5" s="59" t="s">
        <v>375</v>
      </c>
    </row>
    <row r="6" customFormat="false" ht="22.35" hidden="false" customHeight="false" outlineLevel="0" collapsed="false">
      <c r="A6" s="48" t="s">
        <v>425</v>
      </c>
      <c r="B6" s="59" t="s">
        <v>20</v>
      </c>
      <c r="C6" s="48" t="s">
        <v>419</v>
      </c>
      <c r="D6" s="48" t="s">
        <v>420</v>
      </c>
      <c r="E6" s="48" t="s">
        <v>426</v>
      </c>
      <c r="F6" s="48" t="s">
        <v>361</v>
      </c>
      <c r="G6" s="60" t="n">
        <v>46298</v>
      </c>
      <c r="H6" s="60" t="n">
        <v>46298</v>
      </c>
      <c r="I6" s="48" t="s">
        <v>22</v>
      </c>
      <c r="J6" s="48" t="s">
        <v>22</v>
      </c>
      <c r="K6" s="48" t="s">
        <v>26</v>
      </c>
      <c r="L6" s="48" t="s">
        <v>375</v>
      </c>
      <c r="M6" s="48" t="s">
        <v>427</v>
      </c>
      <c r="N6" s="48" t="s">
        <v>428</v>
      </c>
      <c r="O6" s="57" t="str">
        <f aca="false">IFERROR(INDEX(Schedule!$G$5:$G$300,MATCH($B6,Schedule!$A$5:$A$300,0)),"Not Started")</f>
        <v>Complete</v>
      </c>
      <c r="P6" s="49" t="s">
        <v>429</v>
      </c>
      <c r="Q6" s="59" t="n">
        <f aca="false">IF(AND(ISNUMBER(G6),ISNUMBER(H6)),H6-G6+1,"")</f>
        <v>1</v>
      </c>
      <c r="R6" s="61" t="str">
        <f aca="false">IF(AND(ISNUMBER(H6),O6&lt;&gt;"Complete",H6&lt;AsOf),"Overdue","")</f>
        <v/>
      </c>
      <c r="S6" s="59" t="s">
        <v>375</v>
      </c>
    </row>
    <row r="7" customFormat="false" ht="22.35" hidden="false" customHeight="false" outlineLevel="0" collapsed="false">
      <c r="A7" s="48" t="s">
        <v>27</v>
      </c>
      <c r="B7" s="59" t="s">
        <v>24</v>
      </c>
      <c r="C7" s="48" t="s">
        <v>419</v>
      </c>
      <c r="D7" s="48" t="s">
        <v>420</v>
      </c>
      <c r="E7" s="48" t="s">
        <v>430</v>
      </c>
      <c r="F7" s="48" t="s">
        <v>361</v>
      </c>
      <c r="G7" s="60" t="n">
        <v>46302</v>
      </c>
      <c r="H7" s="60" t="n">
        <v>46309</v>
      </c>
      <c r="I7" s="48" t="s">
        <v>26</v>
      </c>
      <c r="J7" s="48" t="s">
        <v>22</v>
      </c>
      <c r="K7" s="48" t="s">
        <v>22</v>
      </c>
      <c r="L7" s="48" t="s">
        <v>425</v>
      </c>
      <c r="M7" s="48" t="s">
        <v>431</v>
      </c>
      <c r="N7" s="48" t="s">
        <v>428</v>
      </c>
      <c r="O7" s="57" t="str">
        <f aca="false">IFERROR(INDEX(Schedule!$G$5:$G$300,MATCH($B7,Schedule!$A$5:$A$300,0)),"Not Started")</f>
        <v>Complete</v>
      </c>
      <c r="P7" s="49" t="s">
        <v>432</v>
      </c>
      <c r="Q7" s="59" t="n">
        <f aca="false">IF(AND(ISNUMBER(G7),ISNUMBER(H7)),H7-G7+1,"")</f>
        <v>8</v>
      </c>
      <c r="R7" s="61" t="str">
        <f aca="false">IF(AND(ISNUMBER(H7),O7&lt;&gt;"Complete",H7&lt;AsOf),"Overdue","")</f>
        <v/>
      </c>
      <c r="S7" s="59" t="s">
        <v>375</v>
      </c>
    </row>
    <row r="8" customFormat="false" ht="22.35" hidden="false" customHeight="false" outlineLevel="0" collapsed="false">
      <c r="A8" s="48" t="s">
        <v>19</v>
      </c>
      <c r="B8" s="59" t="s">
        <v>15</v>
      </c>
      <c r="C8" s="48" t="s">
        <v>419</v>
      </c>
      <c r="D8" s="48" t="s">
        <v>433</v>
      </c>
      <c r="E8" s="48" t="s">
        <v>434</v>
      </c>
      <c r="F8" s="48" t="s">
        <v>435</v>
      </c>
      <c r="G8" s="60" t="n">
        <v>46297</v>
      </c>
      <c r="H8" s="60" t="n">
        <v>46301</v>
      </c>
      <c r="I8" s="48" t="s">
        <v>436</v>
      </c>
      <c r="J8" s="48" t="s">
        <v>22</v>
      </c>
      <c r="K8" s="48" t="s">
        <v>39</v>
      </c>
      <c r="L8" s="48" t="s">
        <v>375</v>
      </c>
      <c r="M8" s="48" t="s">
        <v>437</v>
      </c>
      <c r="N8" s="48" t="s">
        <v>438</v>
      </c>
      <c r="O8" s="57" t="str">
        <f aca="false">IFERROR(INDEX(Schedule!$G$5:$G$300,MATCH($B8,Schedule!$A$5:$A$300,0)),"Not Started")</f>
        <v>Complete</v>
      </c>
      <c r="P8" s="49" t="s">
        <v>439</v>
      </c>
      <c r="Q8" s="59" t="n">
        <f aca="false">IF(AND(ISNUMBER(G8),ISNUMBER(H8)),H8-G8+1,"")</f>
        <v>5</v>
      </c>
      <c r="R8" s="61" t="str">
        <f aca="false">IF(AND(ISNUMBER(H8),O8&lt;&gt;"Complete",H8&lt;AsOf),"Overdue","")</f>
        <v/>
      </c>
      <c r="S8" s="59" t="s">
        <v>375</v>
      </c>
    </row>
    <row r="9" customFormat="false" ht="22.35" hidden="false" customHeight="false" outlineLevel="0" collapsed="false">
      <c r="A9" s="48" t="s">
        <v>30</v>
      </c>
      <c r="B9" s="59" t="s">
        <v>28</v>
      </c>
      <c r="C9" s="48" t="s">
        <v>419</v>
      </c>
      <c r="D9" s="48" t="s">
        <v>440</v>
      </c>
      <c r="E9" s="48" t="s">
        <v>441</v>
      </c>
      <c r="F9" s="48" t="s">
        <v>442</v>
      </c>
      <c r="G9" s="60" t="n">
        <v>46310</v>
      </c>
      <c r="H9" s="60" t="n">
        <v>46310</v>
      </c>
      <c r="I9" s="48" t="s">
        <v>22</v>
      </c>
      <c r="J9" s="48" t="s">
        <v>22</v>
      </c>
      <c r="K9" s="48" t="s">
        <v>443</v>
      </c>
      <c r="L9" s="48" t="s">
        <v>27</v>
      </c>
      <c r="M9" s="48" t="s">
        <v>444</v>
      </c>
      <c r="N9" s="48" t="s">
        <v>445</v>
      </c>
      <c r="O9" s="57" t="str">
        <f aca="false">IFERROR(INDEX(Schedule!$G$5:$G$300,MATCH($B9,Schedule!$A$5:$A$300,0)),"Not Started")</f>
        <v>Complete</v>
      </c>
      <c r="P9" s="49" t="s">
        <v>446</v>
      </c>
      <c r="Q9" s="59" t="n">
        <f aca="false">IF(AND(ISNUMBER(G9),ISNUMBER(H9)),H9-G9+1,"")</f>
        <v>1</v>
      </c>
      <c r="R9" s="61" t="str">
        <f aca="false">IF(AND(ISNUMBER(H9),O9&lt;&gt;"Complete",H9&lt;AsOf),"Overdue","")</f>
        <v/>
      </c>
      <c r="S9" s="59" t="s">
        <v>375</v>
      </c>
    </row>
    <row r="10" customFormat="false" ht="22.35" hidden="false" customHeight="false" outlineLevel="0" collapsed="false">
      <c r="A10" s="48" t="s">
        <v>36</v>
      </c>
      <c r="B10" s="59" t="s">
        <v>34</v>
      </c>
      <c r="C10" s="48" t="s">
        <v>419</v>
      </c>
      <c r="D10" s="48" t="s">
        <v>440</v>
      </c>
      <c r="E10" s="48" t="s">
        <v>447</v>
      </c>
      <c r="F10" s="48" t="s">
        <v>375</v>
      </c>
      <c r="G10" s="60" t="n">
        <v>46310</v>
      </c>
      <c r="H10" s="60" t="n">
        <v>46311</v>
      </c>
      <c r="I10" s="48" t="s">
        <v>22</v>
      </c>
      <c r="J10" s="48" t="s">
        <v>22</v>
      </c>
      <c r="K10" s="48" t="s">
        <v>436</v>
      </c>
      <c r="L10" s="48" t="s">
        <v>30</v>
      </c>
      <c r="M10" s="48" t="s">
        <v>448</v>
      </c>
      <c r="N10" s="48" t="s">
        <v>445</v>
      </c>
      <c r="O10" s="57" t="str">
        <f aca="false">IFERROR(INDEX(Schedule!$G$5:$G$300,MATCH($B10,Schedule!$A$5:$A$300,0)),"Not Started")</f>
        <v>Complete</v>
      </c>
      <c r="P10" s="49" t="s">
        <v>449</v>
      </c>
      <c r="Q10" s="59" t="n">
        <f aca="false">IF(AND(ISNUMBER(G10),ISNUMBER(H10)),H10-G10+1,"")</f>
        <v>2</v>
      </c>
      <c r="R10" s="61" t="str">
        <f aca="false">IF(AND(ISNUMBER(H10),O10&lt;&gt;"Complete",H10&lt;AsOf),"Overdue","")</f>
        <v/>
      </c>
      <c r="S10" s="59" t="s">
        <v>375</v>
      </c>
    </row>
    <row r="11" customFormat="false" ht="22.35" hidden="false" customHeight="false" outlineLevel="0" collapsed="false">
      <c r="A11" s="48" t="s">
        <v>41</v>
      </c>
      <c r="B11" s="59" t="s">
        <v>37</v>
      </c>
      <c r="C11" s="48" t="s">
        <v>419</v>
      </c>
      <c r="D11" s="48" t="s">
        <v>440</v>
      </c>
      <c r="E11" s="48" t="s">
        <v>450</v>
      </c>
      <c r="F11" s="48" t="s">
        <v>375</v>
      </c>
      <c r="G11" s="60" t="n">
        <v>46311</v>
      </c>
      <c r="H11" s="60" t="n">
        <v>46314</v>
      </c>
      <c r="I11" s="48" t="s">
        <v>39</v>
      </c>
      <c r="J11" s="48" t="s">
        <v>22</v>
      </c>
      <c r="K11" s="48" t="s">
        <v>451</v>
      </c>
      <c r="L11" s="48" t="s">
        <v>36</v>
      </c>
      <c r="M11" s="48" t="s">
        <v>452</v>
      </c>
      <c r="N11" s="48" t="s">
        <v>445</v>
      </c>
      <c r="O11" s="57" t="str">
        <f aca="false">IFERROR(INDEX(Schedule!$G$5:$G$300,MATCH($B11,Schedule!$A$5:$A$300,0)),"Not Started")</f>
        <v>On Track</v>
      </c>
      <c r="P11" s="49" t="s">
        <v>453</v>
      </c>
      <c r="Q11" s="59" t="n">
        <f aca="false">IF(AND(ISNUMBER(G11),ISNUMBER(H11)),H11-G11+1,"")</f>
        <v>4</v>
      </c>
      <c r="R11" s="61" t="str">
        <f aca="false">IF(AND(ISNUMBER(H11),O11&lt;&gt;"Complete",H11&lt;AsOf),"Overdue","")</f>
        <v/>
      </c>
      <c r="S11" s="59" t="s">
        <v>375</v>
      </c>
    </row>
    <row r="12" customFormat="false" ht="22.35" hidden="false" customHeight="false" outlineLevel="0" collapsed="false">
      <c r="A12" s="48" t="s">
        <v>58</v>
      </c>
      <c r="B12" s="59" t="s">
        <v>54</v>
      </c>
      <c r="C12" s="48" t="s">
        <v>419</v>
      </c>
      <c r="D12" s="48" t="s">
        <v>440</v>
      </c>
      <c r="E12" s="48" t="s">
        <v>454</v>
      </c>
      <c r="F12" s="48" t="s">
        <v>375</v>
      </c>
      <c r="G12" s="60" t="n">
        <v>46315</v>
      </c>
      <c r="H12" s="60" t="n">
        <v>46315</v>
      </c>
      <c r="I12" s="48" t="s">
        <v>22</v>
      </c>
      <c r="J12" s="48" t="s">
        <v>56</v>
      </c>
      <c r="K12" s="48" t="s">
        <v>455</v>
      </c>
      <c r="L12" s="48" t="s">
        <v>41</v>
      </c>
      <c r="M12" s="48" t="s">
        <v>456</v>
      </c>
      <c r="N12" s="48" t="s">
        <v>445</v>
      </c>
      <c r="O12" s="57" t="str">
        <f aca="false">IFERROR(INDEX(Schedule!$G$5:$G$300,MATCH($B12,Schedule!$A$5:$A$300,0)),"Not Started")</f>
        <v>Not Started</v>
      </c>
      <c r="P12" s="49"/>
      <c r="Q12" s="59" t="n">
        <f aca="false">IF(AND(ISNUMBER(G12),ISNUMBER(H12)),H12-G12+1,"")</f>
        <v>1</v>
      </c>
      <c r="R12" s="61" t="str">
        <f aca="false">IF(AND(ISNUMBER(H12),O12&lt;&gt;"Complete",H12&lt;AsOf),"Overdue","")</f>
        <v/>
      </c>
      <c r="S12" s="59" t="s">
        <v>375</v>
      </c>
    </row>
    <row r="13" customFormat="false" ht="22.35" hidden="false" customHeight="false" outlineLevel="0" collapsed="false">
      <c r="A13" s="48" t="s">
        <v>44</v>
      </c>
      <c r="B13" s="59" t="s">
        <v>42</v>
      </c>
      <c r="C13" s="48" t="s">
        <v>419</v>
      </c>
      <c r="D13" s="48" t="s">
        <v>420</v>
      </c>
      <c r="E13" s="48" t="s">
        <v>457</v>
      </c>
      <c r="F13" s="48" t="s">
        <v>458</v>
      </c>
      <c r="G13" s="60" t="n">
        <v>46310</v>
      </c>
      <c r="H13" s="60" t="n">
        <v>46311</v>
      </c>
      <c r="I13" s="48" t="s">
        <v>22</v>
      </c>
      <c r="J13" s="48" t="s">
        <v>22</v>
      </c>
      <c r="K13" s="48" t="s">
        <v>436</v>
      </c>
      <c r="L13" s="48" t="s">
        <v>30</v>
      </c>
      <c r="M13" s="48" t="s">
        <v>459</v>
      </c>
      <c r="N13" s="48" t="s">
        <v>460</v>
      </c>
      <c r="O13" s="57" t="str">
        <f aca="false">IFERROR(INDEX(Schedule!$G$5:$G$300,MATCH($B13,Schedule!$A$5:$A$300,0)),"Not Started")</f>
        <v>Complete</v>
      </c>
      <c r="P13" s="49" t="s">
        <v>461</v>
      </c>
      <c r="Q13" s="59" t="n">
        <f aca="false">IF(AND(ISNUMBER(G13),ISNUMBER(H13)),H13-G13+1,"")</f>
        <v>2</v>
      </c>
      <c r="R13" s="61" t="str">
        <f aca="false">IF(AND(ISNUMBER(H13),O13&lt;&gt;"Complete",H13&lt;AsOf),"Overdue","")</f>
        <v/>
      </c>
      <c r="S13" s="59" t="s">
        <v>462</v>
      </c>
    </row>
    <row r="14" customFormat="false" ht="22.35" hidden="false" customHeight="false" outlineLevel="0" collapsed="false">
      <c r="A14" s="48" t="s">
        <v>463</v>
      </c>
      <c r="B14" s="59" t="s">
        <v>51</v>
      </c>
      <c r="C14" s="48" t="s">
        <v>419</v>
      </c>
      <c r="D14" s="48" t="s">
        <v>420</v>
      </c>
      <c r="E14" s="48" t="s">
        <v>464</v>
      </c>
      <c r="F14" s="48" t="s">
        <v>465</v>
      </c>
      <c r="G14" s="60" t="n">
        <v>46311</v>
      </c>
      <c r="H14" s="60" t="n">
        <v>46316</v>
      </c>
      <c r="I14" s="48" t="s">
        <v>22</v>
      </c>
      <c r="J14" s="48" t="s">
        <v>22</v>
      </c>
      <c r="K14" s="48" t="s">
        <v>39</v>
      </c>
      <c r="L14" s="48" t="s">
        <v>44</v>
      </c>
      <c r="M14" s="48" t="s">
        <v>466</v>
      </c>
      <c r="N14" s="48" t="s">
        <v>467</v>
      </c>
      <c r="O14" s="57" t="str">
        <f aca="false">IFERROR(INDEX(Schedule!$G$5:$G$300,MATCH($B14,Schedule!$A$5:$A$300,0)),"Not Started")</f>
        <v>On Track</v>
      </c>
      <c r="P14" s="49" t="s">
        <v>468</v>
      </c>
      <c r="Q14" s="59" t="n">
        <f aca="false">IF(AND(ISNUMBER(G14),ISNUMBER(H14)),H14-G14+1,"")</f>
        <v>6</v>
      </c>
      <c r="R14" s="61" t="str">
        <f aca="false">IF(AND(ISNUMBER(H14),O14&lt;&gt;"Complete",H14&lt;AsOf),"Overdue","")</f>
        <v/>
      </c>
      <c r="S14" s="59" t="s">
        <v>462</v>
      </c>
    </row>
    <row r="15" customFormat="false" ht="22.35" hidden="false" customHeight="false" outlineLevel="0" collapsed="false">
      <c r="A15" s="48" t="s">
        <v>47</v>
      </c>
      <c r="B15" s="59" t="s">
        <v>45</v>
      </c>
      <c r="C15" s="48" t="s">
        <v>419</v>
      </c>
      <c r="D15" s="48" t="s">
        <v>440</v>
      </c>
      <c r="E15" s="48" t="s">
        <v>469</v>
      </c>
      <c r="F15" s="48" t="s">
        <v>442</v>
      </c>
      <c r="G15" s="60" t="n">
        <v>46310</v>
      </c>
      <c r="H15" s="60" t="n">
        <v>46311</v>
      </c>
      <c r="I15" s="48" t="s">
        <v>22</v>
      </c>
      <c r="J15" s="48" t="s">
        <v>22</v>
      </c>
      <c r="K15" s="48" t="s">
        <v>26</v>
      </c>
      <c r="L15" s="48" t="s">
        <v>30</v>
      </c>
      <c r="M15" s="48" t="s">
        <v>470</v>
      </c>
      <c r="N15" s="48" t="s">
        <v>445</v>
      </c>
      <c r="O15" s="57" t="str">
        <f aca="false">IFERROR(INDEX(Schedule!$G$5:$G$300,MATCH($B15,Schedule!$A$5:$A$300,0)),"Not Started")</f>
        <v>Complete</v>
      </c>
      <c r="P15" s="49" t="s">
        <v>471</v>
      </c>
      <c r="Q15" s="59" t="n">
        <f aca="false">IF(AND(ISNUMBER(G15),ISNUMBER(H15)),H15-G15+1,"")</f>
        <v>2</v>
      </c>
      <c r="R15" s="61" t="str">
        <f aca="false">IF(AND(ISNUMBER(H15),O15&lt;&gt;"Complete",H15&lt;AsOf),"Overdue","")</f>
        <v/>
      </c>
      <c r="S15" s="59" t="s">
        <v>375</v>
      </c>
    </row>
    <row r="16" customFormat="false" ht="22.35" hidden="false" customHeight="false" outlineLevel="0" collapsed="false">
      <c r="A16" s="48" t="s">
        <v>472</v>
      </c>
      <c r="B16" s="59" t="s">
        <v>59</v>
      </c>
      <c r="C16" s="48" t="s">
        <v>419</v>
      </c>
      <c r="D16" s="48" t="s">
        <v>440</v>
      </c>
      <c r="E16" s="48" t="s">
        <v>473</v>
      </c>
      <c r="F16" s="48" t="s">
        <v>435</v>
      </c>
      <c r="G16" s="60" t="n">
        <v>46314</v>
      </c>
      <c r="H16" s="60" t="n">
        <v>46314</v>
      </c>
      <c r="I16" s="48" t="s">
        <v>22</v>
      </c>
      <c r="J16" s="48" t="s">
        <v>22</v>
      </c>
      <c r="K16" s="48" t="s">
        <v>474</v>
      </c>
      <c r="L16" s="48" t="s">
        <v>50</v>
      </c>
      <c r="M16" s="48" t="s">
        <v>475</v>
      </c>
      <c r="N16" s="48" t="s">
        <v>476</v>
      </c>
      <c r="O16" s="57" t="str">
        <f aca="false">IFERROR(INDEX(Schedule!$G$5:$G$300,MATCH($B16,Schedule!$A$5:$A$300,0)),"Not Started")</f>
        <v>Not Started</v>
      </c>
      <c r="P16" s="49" t="s">
        <v>477</v>
      </c>
      <c r="Q16" s="59" t="n">
        <f aca="false">IF(AND(ISNUMBER(G16),ISNUMBER(H16)),H16-G16+1,"")</f>
        <v>1</v>
      </c>
      <c r="R16" s="61" t="str">
        <f aca="false">IF(AND(ISNUMBER(H16),O16&lt;&gt;"Complete",H16&lt;AsOf),"Overdue","")</f>
        <v/>
      </c>
      <c r="S16" s="59" t="s">
        <v>478</v>
      </c>
    </row>
    <row r="17" customFormat="false" ht="22.35" hidden="false" customHeight="false" outlineLevel="0" collapsed="false">
      <c r="A17" s="48" t="s">
        <v>50</v>
      </c>
      <c r="B17" s="59" t="s">
        <v>48</v>
      </c>
      <c r="C17" s="48" t="s">
        <v>419</v>
      </c>
      <c r="D17" s="48" t="s">
        <v>420</v>
      </c>
      <c r="E17" s="48" t="s">
        <v>479</v>
      </c>
      <c r="F17" s="48" t="s">
        <v>435</v>
      </c>
      <c r="G17" s="60" t="n">
        <v>46310</v>
      </c>
      <c r="H17" s="60" t="n">
        <v>46311</v>
      </c>
      <c r="I17" s="48" t="s">
        <v>22</v>
      </c>
      <c r="J17" s="48" t="s">
        <v>22</v>
      </c>
      <c r="K17" s="48" t="s">
        <v>26</v>
      </c>
      <c r="L17" s="48" t="s">
        <v>375</v>
      </c>
      <c r="M17" s="48" t="s">
        <v>480</v>
      </c>
      <c r="N17" s="48" t="s">
        <v>481</v>
      </c>
      <c r="O17" s="57" t="str">
        <f aca="false">IFERROR(INDEX(Schedule!$G$5:$G$300,MATCH($B17,Schedule!$A$5:$A$300,0)),"Not Started")</f>
        <v>Complete</v>
      </c>
      <c r="P17" s="49" t="s">
        <v>482</v>
      </c>
      <c r="Q17" s="59" t="n">
        <f aca="false">IF(AND(ISNUMBER(G17),ISNUMBER(H17)),H17-G17+1,"")</f>
        <v>2</v>
      </c>
      <c r="R17" s="61" t="str">
        <f aca="false">IF(AND(ISNUMBER(H17),O17&lt;&gt;"Complete",H17&lt;AsOf),"Overdue","")</f>
        <v/>
      </c>
      <c r="S17" s="59" t="s">
        <v>99</v>
      </c>
    </row>
    <row r="18" customFormat="false" ht="22.35" hidden="false" customHeight="false" outlineLevel="0" collapsed="false">
      <c r="A18" s="48" t="s">
        <v>483</v>
      </c>
      <c r="B18" s="59" t="s">
        <v>59</v>
      </c>
      <c r="C18" s="48" t="s">
        <v>419</v>
      </c>
      <c r="D18" s="48" t="s">
        <v>420</v>
      </c>
      <c r="E18" s="48" t="s">
        <v>484</v>
      </c>
      <c r="F18" s="48" t="s">
        <v>435</v>
      </c>
      <c r="G18" s="60" t="n">
        <v>46314</v>
      </c>
      <c r="H18" s="60" t="n">
        <v>46316</v>
      </c>
      <c r="I18" s="48" t="s">
        <v>22</v>
      </c>
      <c r="J18" s="48" t="s">
        <v>22</v>
      </c>
      <c r="K18" s="48" t="s">
        <v>26</v>
      </c>
      <c r="L18" s="48" t="s">
        <v>375</v>
      </c>
      <c r="M18" s="48" t="s">
        <v>485</v>
      </c>
      <c r="N18" s="48" t="s">
        <v>486</v>
      </c>
      <c r="O18" s="57" t="str">
        <f aca="false">IFERROR(INDEX(Schedule!$G$5:$G$300,MATCH($B18,Schedule!$A$5:$A$300,0)),"Not Started")</f>
        <v>Not Started</v>
      </c>
      <c r="P18" s="49" t="s">
        <v>487</v>
      </c>
      <c r="Q18" s="59" t="n">
        <f aca="false">IF(AND(ISNUMBER(G18),ISNUMBER(H18)),H18-G18+1,"")</f>
        <v>3</v>
      </c>
      <c r="R18" s="61" t="str">
        <f aca="false">IF(AND(ISNUMBER(H18),O18&lt;&gt;"Complete",H18&lt;AsOf),"Overdue","")</f>
        <v/>
      </c>
      <c r="S18" s="59" t="s">
        <v>488</v>
      </c>
    </row>
    <row r="19" customFormat="false" ht="22.35" hidden="false" customHeight="false" outlineLevel="0" collapsed="false">
      <c r="A19" s="48" t="s">
        <v>489</v>
      </c>
      <c r="B19" s="59" t="s">
        <v>65</v>
      </c>
      <c r="C19" s="48" t="s">
        <v>419</v>
      </c>
      <c r="D19" s="48" t="s">
        <v>440</v>
      </c>
      <c r="E19" s="48" t="s">
        <v>490</v>
      </c>
      <c r="F19" s="48" t="s">
        <v>375</v>
      </c>
      <c r="G19" s="60" t="n">
        <v>46314</v>
      </c>
      <c r="H19" s="60" t="n">
        <v>46318</v>
      </c>
      <c r="I19" s="48" t="s">
        <v>22</v>
      </c>
      <c r="J19" s="48" t="s">
        <v>22</v>
      </c>
      <c r="K19" s="48" t="s">
        <v>491</v>
      </c>
      <c r="L19" s="48" t="s">
        <v>41</v>
      </c>
      <c r="M19" s="48" t="s">
        <v>492</v>
      </c>
      <c r="N19" s="48" t="s">
        <v>445</v>
      </c>
      <c r="O19" s="57" t="str">
        <f aca="false">IFERROR(INDEX(Schedule!$G$5:$G$300,MATCH($B19,Schedule!$A$5:$A$300,0)),"Not Started")</f>
        <v>Not Started</v>
      </c>
      <c r="P19" s="49"/>
      <c r="Q19" s="59" t="n">
        <f aca="false">IF(AND(ISNUMBER(G19),ISNUMBER(H19)),H19-G19+1,"")</f>
        <v>5</v>
      </c>
      <c r="R19" s="61" t="str">
        <f aca="false">IF(AND(ISNUMBER(H19),O19&lt;&gt;"Complete",H19&lt;AsOf),"Overdue","")</f>
        <v/>
      </c>
      <c r="S19" s="59" t="s">
        <v>375</v>
      </c>
    </row>
    <row r="20" customFormat="false" ht="22.35" hidden="false" customHeight="false" outlineLevel="0" collapsed="false">
      <c r="A20" s="48" t="s">
        <v>493</v>
      </c>
      <c r="B20" s="59" t="s">
        <v>65</v>
      </c>
      <c r="C20" s="48" t="s">
        <v>419</v>
      </c>
      <c r="D20" s="48" t="s">
        <v>440</v>
      </c>
      <c r="E20" s="48" t="s">
        <v>494</v>
      </c>
      <c r="F20" s="48" t="s">
        <v>375</v>
      </c>
      <c r="G20" s="60" t="n">
        <v>46314</v>
      </c>
      <c r="H20" s="60" t="n">
        <v>46318</v>
      </c>
      <c r="I20" s="48" t="s">
        <v>22</v>
      </c>
      <c r="J20" s="48" t="s">
        <v>22</v>
      </c>
      <c r="K20" s="48" t="s">
        <v>495</v>
      </c>
      <c r="L20" s="48" t="s">
        <v>41</v>
      </c>
      <c r="M20" s="48" t="s">
        <v>496</v>
      </c>
      <c r="N20" s="48" t="s">
        <v>445</v>
      </c>
      <c r="O20" s="57" t="str">
        <f aca="false">IFERROR(INDEX(Schedule!$G$5:$G$300,MATCH($B20,Schedule!$A$5:$A$300,0)),"Not Started")</f>
        <v>Not Started</v>
      </c>
      <c r="P20" s="49"/>
      <c r="Q20" s="59" t="n">
        <f aca="false">IF(AND(ISNUMBER(G20),ISNUMBER(H20)),H20-G20+1,"")</f>
        <v>5</v>
      </c>
      <c r="R20" s="61" t="str">
        <f aca="false">IF(AND(ISNUMBER(H20),O20&lt;&gt;"Complete",H20&lt;AsOf),"Overdue","")</f>
        <v/>
      </c>
      <c r="S20" s="59" t="s">
        <v>375</v>
      </c>
    </row>
    <row r="21" customFormat="false" ht="22.35" hidden="false" customHeight="false" outlineLevel="0" collapsed="false">
      <c r="A21" s="48" t="s">
        <v>497</v>
      </c>
      <c r="B21" s="59" t="s">
        <v>65</v>
      </c>
      <c r="C21" s="48" t="s">
        <v>419</v>
      </c>
      <c r="D21" s="48" t="s">
        <v>440</v>
      </c>
      <c r="E21" s="48" t="s">
        <v>498</v>
      </c>
      <c r="F21" s="48" t="s">
        <v>375</v>
      </c>
      <c r="G21" s="60" t="n">
        <v>46314</v>
      </c>
      <c r="H21" s="60" t="n">
        <v>46316</v>
      </c>
      <c r="I21" s="48" t="s">
        <v>22</v>
      </c>
      <c r="J21" s="48" t="s">
        <v>22</v>
      </c>
      <c r="K21" s="48" t="s">
        <v>499</v>
      </c>
      <c r="L21" s="48" t="s">
        <v>375</v>
      </c>
      <c r="M21" s="48" t="s">
        <v>500</v>
      </c>
      <c r="N21" s="48" t="s">
        <v>445</v>
      </c>
      <c r="O21" s="57" t="str">
        <f aca="false">IFERROR(INDEX(Schedule!$G$5:$G$300,MATCH($B21,Schedule!$A$5:$A$300,0)),"Not Started")</f>
        <v>Not Started</v>
      </c>
      <c r="P21" s="49" t="s">
        <v>501</v>
      </c>
      <c r="Q21" s="59" t="n">
        <f aca="false">IF(AND(ISNUMBER(G21),ISNUMBER(H21)),H21-G21+1,"")</f>
        <v>3</v>
      </c>
      <c r="R21" s="61" t="str">
        <f aca="false">IF(AND(ISNUMBER(H21),O21&lt;&gt;"Complete",H21&lt;AsOf),"Overdue","")</f>
        <v/>
      </c>
      <c r="S21" s="59" t="s">
        <v>375</v>
      </c>
    </row>
    <row r="22" customFormat="false" ht="22.35" hidden="false" customHeight="false" outlineLevel="0" collapsed="false">
      <c r="A22" s="48" t="s">
        <v>64</v>
      </c>
      <c r="B22" s="59" t="s">
        <v>62</v>
      </c>
      <c r="C22" s="48" t="s">
        <v>419</v>
      </c>
      <c r="D22" s="48" t="s">
        <v>440</v>
      </c>
      <c r="E22" s="48" t="s">
        <v>502</v>
      </c>
      <c r="F22" s="48" t="s">
        <v>503</v>
      </c>
      <c r="G22" s="60" t="n">
        <v>46314</v>
      </c>
      <c r="H22" s="60" t="n">
        <v>46316</v>
      </c>
      <c r="I22" s="48" t="s">
        <v>22</v>
      </c>
      <c r="J22" s="48" t="s">
        <v>22</v>
      </c>
      <c r="K22" s="48" t="s">
        <v>504</v>
      </c>
      <c r="L22" s="48" t="s">
        <v>375</v>
      </c>
      <c r="M22" s="48" t="s">
        <v>505</v>
      </c>
      <c r="N22" s="48" t="s">
        <v>445</v>
      </c>
      <c r="O22" s="57" t="str">
        <f aca="false">IFERROR(INDEX(Schedule!$G$5:$G$300,MATCH($B22,Schedule!$A$5:$A$300,0)),"Not Started")</f>
        <v>Not Started</v>
      </c>
      <c r="P22" s="49" t="s">
        <v>506</v>
      </c>
      <c r="Q22" s="59" t="n">
        <f aca="false">IF(AND(ISNUMBER(G22),ISNUMBER(H22)),H22-G22+1,"")</f>
        <v>3</v>
      </c>
      <c r="R22" s="61" t="str">
        <f aca="false">IF(AND(ISNUMBER(H22),O22&lt;&gt;"Complete",H22&lt;AsOf),"Overdue","")</f>
        <v/>
      </c>
      <c r="S22" s="59" t="s">
        <v>172</v>
      </c>
    </row>
    <row r="23" customFormat="false" ht="22.35" hidden="false" customHeight="false" outlineLevel="0" collapsed="false">
      <c r="A23" s="48" t="s">
        <v>70</v>
      </c>
      <c r="B23" s="59" t="s">
        <v>68</v>
      </c>
      <c r="C23" s="48" t="s">
        <v>419</v>
      </c>
      <c r="D23" s="48" t="s">
        <v>440</v>
      </c>
      <c r="E23" s="48" t="s">
        <v>507</v>
      </c>
      <c r="F23" s="48" t="s">
        <v>375</v>
      </c>
      <c r="G23" s="60" t="n">
        <v>46314</v>
      </c>
      <c r="H23" s="60" t="n">
        <v>46323</v>
      </c>
      <c r="I23" s="48" t="s">
        <v>22</v>
      </c>
      <c r="J23" s="48" t="s">
        <v>22</v>
      </c>
      <c r="K23" s="48" t="s">
        <v>508</v>
      </c>
      <c r="L23" s="48" t="s">
        <v>375</v>
      </c>
      <c r="M23" s="48" t="s">
        <v>509</v>
      </c>
      <c r="N23" s="48" t="s">
        <v>510</v>
      </c>
      <c r="O23" s="57" t="str">
        <f aca="false">IFERROR(INDEX(Schedule!$G$5:$G$300,MATCH($B23,Schedule!$A$5:$A$300,0)),"Not Started")</f>
        <v>Not Started</v>
      </c>
      <c r="P23" s="49" t="s">
        <v>511</v>
      </c>
      <c r="Q23" s="59" t="n">
        <f aca="false">IF(AND(ISNUMBER(G23),ISNUMBER(H23)),H23-G23+1,"")</f>
        <v>10</v>
      </c>
      <c r="R23" s="61" t="str">
        <f aca="false">IF(AND(ISNUMBER(H23),O23&lt;&gt;"Complete",H23&lt;AsOf),"Overdue","")</f>
        <v/>
      </c>
      <c r="S23" s="59" t="s">
        <v>137</v>
      </c>
    </row>
    <row r="24" customFormat="false" ht="22.35" hidden="false" customHeight="false" outlineLevel="0" collapsed="false">
      <c r="A24" s="48" t="s">
        <v>90</v>
      </c>
      <c r="B24" s="59" t="s">
        <v>88</v>
      </c>
      <c r="C24" s="48" t="s">
        <v>419</v>
      </c>
      <c r="D24" s="48" t="s">
        <v>440</v>
      </c>
      <c r="E24" s="48" t="s">
        <v>512</v>
      </c>
      <c r="F24" s="48" t="s">
        <v>435</v>
      </c>
      <c r="G24" s="60" t="n">
        <v>46316</v>
      </c>
      <c r="H24" s="60" t="n">
        <v>46318</v>
      </c>
      <c r="I24" s="48" t="s">
        <v>22</v>
      </c>
      <c r="J24" s="48" t="s">
        <v>56</v>
      </c>
      <c r="K24" s="48" t="s">
        <v>451</v>
      </c>
      <c r="L24" s="48" t="s">
        <v>58</v>
      </c>
      <c r="M24" s="48" t="s">
        <v>513</v>
      </c>
      <c r="N24" s="48" t="s">
        <v>514</v>
      </c>
      <c r="O24" s="57" t="str">
        <f aca="false">IFERROR(INDEX(Schedule!$G$5:$G$300,MATCH($B24,Schedule!$A$5:$A$300,0)),"Not Started")</f>
        <v>Not Started</v>
      </c>
      <c r="P24" s="49" t="s">
        <v>515</v>
      </c>
      <c r="Q24" s="59" t="n">
        <f aca="false">IF(AND(ISNUMBER(G24),ISNUMBER(H24)),H24-G24+1,"")</f>
        <v>3</v>
      </c>
      <c r="R24" s="61" t="str">
        <f aca="false">IF(AND(ISNUMBER(H24),O24&lt;&gt;"Complete",H24&lt;AsOf),"Overdue","")</f>
        <v/>
      </c>
      <c r="S24" s="59" t="s">
        <v>172</v>
      </c>
    </row>
    <row r="25" customFormat="false" ht="22.35" hidden="false" customHeight="false" outlineLevel="0" collapsed="false">
      <c r="A25" s="48" t="s">
        <v>516</v>
      </c>
      <c r="B25" s="59" t="s">
        <v>71</v>
      </c>
      <c r="C25" s="48" t="s">
        <v>419</v>
      </c>
      <c r="D25" s="48" t="s">
        <v>433</v>
      </c>
      <c r="E25" s="48" t="s">
        <v>517</v>
      </c>
      <c r="F25" s="48" t="s">
        <v>367</v>
      </c>
      <c r="G25" s="60" t="n">
        <v>46314</v>
      </c>
      <c r="H25" s="60" t="n">
        <v>46317</v>
      </c>
      <c r="I25" s="48" t="s">
        <v>436</v>
      </c>
      <c r="J25" s="48" t="s">
        <v>436</v>
      </c>
      <c r="K25" s="48" t="s">
        <v>22</v>
      </c>
      <c r="L25" s="48" t="s">
        <v>375</v>
      </c>
      <c r="M25" s="48" t="s">
        <v>518</v>
      </c>
      <c r="N25" s="48" t="s">
        <v>519</v>
      </c>
      <c r="O25" s="57" t="str">
        <f aca="false">IFERROR(INDEX(Schedule!$G$5:$G$300,MATCH($B25,Schedule!$A$5:$A$300,0)),"Not Started")</f>
        <v>Not Started</v>
      </c>
      <c r="P25" s="49" t="s">
        <v>520</v>
      </c>
      <c r="Q25" s="59" t="n">
        <f aca="false">IF(AND(ISNUMBER(G25),ISNUMBER(H25)),H25-G25+1,"")</f>
        <v>4</v>
      </c>
      <c r="R25" s="61" t="str">
        <f aca="false">IF(AND(ISNUMBER(H25),O25&lt;&gt;"Complete",H25&lt;AsOf),"Overdue","")</f>
        <v/>
      </c>
      <c r="S25" s="59" t="s">
        <v>213</v>
      </c>
    </row>
    <row r="26" customFormat="false" ht="22.35" hidden="false" customHeight="false" outlineLevel="0" collapsed="false">
      <c r="A26" s="48" t="s">
        <v>521</v>
      </c>
      <c r="B26" s="59" t="s">
        <v>71</v>
      </c>
      <c r="C26" s="48" t="s">
        <v>419</v>
      </c>
      <c r="D26" s="48" t="s">
        <v>433</v>
      </c>
      <c r="E26" s="48" t="s">
        <v>522</v>
      </c>
      <c r="F26" s="48" t="s">
        <v>367</v>
      </c>
      <c r="G26" s="60" t="n">
        <v>46314</v>
      </c>
      <c r="H26" s="60" t="n">
        <v>46318</v>
      </c>
      <c r="I26" s="48" t="s">
        <v>436</v>
      </c>
      <c r="J26" s="48" t="s">
        <v>436</v>
      </c>
      <c r="K26" s="48" t="s">
        <v>22</v>
      </c>
      <c r="L26" s="48" t="s">
        <v>375</v>
      </c>
      <c r="M26" s="48" t="s">
        <v>523</v>
      </c>
      <c r="N26" s="48" t="s">
        <v>524</v>
      </c>
      <c r="O26" s="57" t="str">
        <f aca="false">IFERROR(INDEX(Schedule!$G$5:$G$300,MATCH($B26,Schedule!$A$5:$A$300,0)),"Not Started")</f>
        <v>Not Started</v>
      </c>
      <c r="P26" s="49" t="s">
        <v>525</v>
      </c>
      <c r="Q26" s="59" t="n">
        <f aca="false">IF(AND(ISNUMBER(G26),ISNUMBER(H26)),H26-G26+1,"")</f>
        <v>5</v>
      </c>
      <c r="R26" s="61" t="str">
        <f aca="false">IF(AND(ISNUMBER(H26),O26&lt;&gt;"Complete",H26&lt;AsOf),"Overdue","")</f>
        <v/>
      </c>
      <c r="S26" s="59" t="s">
        <v>213</v>
      </c>
    </row>
    <row r="27" customFormat="false" ht="22.35" hidden="false" customHeight="false" outlineLevel="0" collapsed="false">
      <c r="A27" s="48" t="s">
        <v>80</v>
      </c>
      <c r="B27" s="59" t="s">
        <v>77</v>
      </c>
      <c r="C27" s="48" t="s">
        <v>419</v>
      </c>
      <c r="D27" s="48" t="s">
        <v>526</v>
      </c>
      <c r="E27" s="48" t="s">
        <v>527</v>
      </c>
      <c r="F27" s="48" t="s">
        <v>435</v>
      </c>
      <c r="G27" s="60" t="n">
        <v>46314</v>
      </c>
      <c r="H27" s="60" t="n">
        <v>46318</v>
      </c>
      <c r="I27" s="48" t="s">
        <v>528</v>
      </c>
      <c r="J27" s="48" t="s">
        <v>22</v>
      </c>
      <c r="K27" s="48" t="s">
        <v>26</v>
      </c>
      <c r="L27" s="48" t="s">
        <v>375</v>
      </c>
      <c r="M27" s="48" t="s">
        <v>529</v>
      </c>
      <c r="N27" s="48" t="s">
        <v>530</v>
      </c>
      <c r="O27" s="57" t="str">
        <f aca="false">IFERROR(INDEX(Schedule!$G$5:$G$300,MATCH($B27,Schedule!$A$5:$A$300,0)),"Not Started")</f>
        <v>Not Started</v>
      </c>
      <c r="P27" s="49" t="s">
        <v>531</v>
      </c>
      <c r="Q27" s="59" t="n">
        <f aca="false">IF(AND(ISNUMBER(G27),ISNUMBER(H27)),H27-G27+1,"")</f>
        <v>5</v>
      </c>
      <c r="R27" s="61" t="str">
        <f aca="false">IF(AND(ISNUMBER(H27),O27&lt;&gt;"Complete",H27&lt;AsOf),"Overdue","")</f>
        <v/>
      </c>
      <c r="S27" s="59" t="s">
        <v>259</v>
      </c>
    </row>
    <row r="28" customFormat="false" ht="22.35" hidden="false" customHeight="false" outlineLevel="0" collapsed="false">
      <c r="A28" s="48" t="s">
        <v>532</v>
      </c>
      <c r="B28" s="59" t="s">
        <v>51</v>
      </c>
      <c r="C28" s="48" t="s">
        <v>419</v>
      </c>
      <c r="D28" s="48" t="s">
        <v>420</v>
      </c>
      <c r="E28" s="48" t="s">
        <v>533</v>
      </c>
      <c r="F28" s="48" t="s">
        <v>465</v>
      </c>
      <c r="G28" s="60" t="n">
        <v>46314</v>
      </c>
      <c r="H28" s="60" t="n">
        <v>46317</v>
      </c>
      <c r="I28" s="48" t="s">
        <v>22</v>
      </c>
      <c r="J28" s="48" t="s">
        <v>22</v>
      </c>
      <c r="K28" s="48" t="s">
        <v>375</v>
      </c>
      <c r="L28" s="48" t="s">
        <v>375</v>
      </c>
      <c r="M28" s="48" t="s">
        <v>534</v>
      </c>
      <c r="N28" s="48" t="s">
        <v>535</v>
      </c>
      <c r="O28" s="57" t="str">
        <f aca="false">IFERROR(INDEX(Schedule!$G$5:$G$300,MATCH($B28,Schedule!$A$5:$A$300,0)),"Not Started")</f>
        <v>On Track</v>
      </c>
      <c r="P28" s="49"/>
      <c r="Q28" s="59" t="n">
        <f aca="false">IF(AND(ISNUMBER(G28),ISNUMBER(H28)),H28-G28+1,"")</f>
        <v>4</v>
      </c>
      <c r="R28" s="61" t="str">
        <f aca="false">IF(AND(ISNUMBER(H28),O28&lt;&gt;"Complete",H28&lt;AsOf),"Overdue","")</f>
        <v/>
      </c>
      <c r="S28" s="59" t="s">
        <v>375</v>
      </c>
    </row>
    <row r="29" customFormat="false" ht="22.35" hidden="false" customHeight="false" outlineLevel="0" collapsed="false">
      <c r="A29" s="48" t="s">
        <v>536</v>
      </c>
      <c r="B29" s="59" t="s">
        <v>74</v>
      </c>
      <c r="C29" s="48" t="s">
        <v>419</v>
      </c>
      <c r="D29" s="48" t="s">
        <v>537</v>
      </c>
      <c r="E29" s="48" t="s">
        <v>538</v>
      </c>
      <c r="F29" s="48" t="s">
        <v>367</v>
      </c>
      <c r="G29" s="60" t="n">
        <v>46314</v>
      </c>
      <c r="H29" s="60" t="n">
        <v>46323</v>
      </c>
      <c r="I29" s="48" t="s">
        <v>436</v>
      </c>
      <c r="J29" s="48" t="s">
        <v>436</v>
      </c>
      <c r="K29" s="48" t="s">
        <v>22</v>
      </c>
      <c r="L29" s="48" t="s">
        <v>375</v>
      </c>
      <c r="M29" s="48" t="s">
        <v>539</v>
      </c>
      <c r="N29" s="48" t="s">
        <v>540</v>
      </c>
      <c r="O29" s="57" t="str">
        <f aca="false">IFERROR(INDEX(Schedule!$G$5:$G$300,MATCH($B29,Schedule!$A$5:$A$300,0)),"Not Started")</f>
        <v>Not Started</v>
      </c>
      <c r="P29" s="49" t="s">
        <v>541</v>
      </c>
      <c r="Q29" s="59" t="n">
        <f aca="false">IF(AND(ISNUMBER(G29),ISNUMBER(H29)),H29-G29+1,"")</f>
        <v>10</v>
      </c>
      <c r="R29" s="61" t="str">
        <f aca="false">IF(AND(ISNUMBER(H29),O29&lt;&gt;"Complete",H29&lt;AsOf),"Overdue","")</f>
        <v/>
      </c>
      <c r="S29" s="59" t="s">
        <v>241</v>
      </c>
    </row>
    <row r="30" customFormat="false" ht="22.35" hidden="false" customHeight="false" outlineLevel="0" collapsed="false">
      <c r="A30" s="48" t="s">
        <v>542</v>
      </c>
      <c r="B30" s="59" t="s">
        <v>74</v>
      </c>
      <c r="C30" s="48" t="s">
        <v>419</v>
      </c>
      <c r="D30" s="48" t="s">
        <v>537</v>
      </c>
      <c r="E30" s="48" t="s">
        <v>543</v>
      </c>
      <c r="F30" s="48" t="s">
        <v>375</v>
      </c>
      <c r="G30" s="60" t="n">
        <v>46314</v>
      </c>
      <c r="H30" s="60" t="n">
        <v>46317</v>
      </c>
      <c r="I30" s="48" t="s">
        <v>22</v>
      </c>
      <c r="J30" s="48" t="s">
        <v>22</v>
      </c>
      <c r="K30" s="48" t="s">
        <v>375</v>
      </c>
      <c r="L30" s="48" t="s">
        <v>375</v>
      </c>
      <c r="M30" s="48" t="s">
        <v>544</v>
      </c>
      <c r="N30" s="48" t="s">
        <v>545</v>
      </c>
      <c r="O30" s="57" t="str">
        <f aca="false">IFERROR(INDEX(Schedule!$G$5:$G$300,MATCH($B30,Schedule!$A$5:$A$300,0)),"Not Started")</f>
        <v>Not Started</v>
      </c>
      <c r="P30" s="49"/>
      <c r="Q30" s="59" t="n">
        <f aca="false">IF(AND(ISNUMBER(G30),ISNUMBER(H30)),H30-G30+1,"")</f>
        <v>4</v>
      </c>
      <c r="R30" s="61" t="str">
        <f aca="false">IF(AND(ISNUMBER(H30),O30&lt;&gt;"Complete",H30&lt;AsOf),"Overdue","")</f>
        <v/>
      </c>
      <c r="S30" s="59" t="s">
        <v>241</v>
      </c>
    </row>
    <row r="31" customFormat="false" ht="22.35" hidden="false" customHeight="false" outlineLevel="0" collapsed="false">
      <c r="A31" s="48" t="s">
        <v>546</v>
      </c>
      <c r="B31" s="59" t="s">
        <v>81</v>
      </c>
      <c r="C31" s="48" t="s">
        <v>419</v>
      </c>
      <c r="D31" s="48" t="s">
        <v>547</v>
      </c>
      <c r="E31" s="48" t="s">
        <v>548</v>
      </c>
      <c r="F31" s="48" t="s">
        <v>549</v>
      </c>
      <c r="G31" s="60" t="n">
        <v>46314</v>
      </c>
      <c r="H31" s="60" t="n">
        <v>46323</v>
      </c>
      <c r="I31" s="48" t="s">
        <v>39</v>
      </c>
      <c r="J31" s="48" t="s">
        <v>39</v>
      </c>
      <c r="K31" s="48" t="s">
        <v>550</v>
      </c>
      <c r="L31" s="48" t="s">
        <v>375</v>
      </c>
      <c r="M31" s="48" t="s">
        <v>551</v>
      </c>
      <c r="N31" s="48" t="s">
        <v>445</v>
      </c>
      <c r="O31" s="57" t="str">
        <f aca="false">IFERROR(INDEX(Schedule!$G$5:$G$300,MATCH($B31,Schedule!$A$5:$A$300,0)),"Not Started")</f>
        <v>Not Started</v>
      </c>
      <c r="P31" s="49" t="s">
        <v>552</v>
      </c>
      <c r="Q31" s="59" t="n">
        <f aca="false">IF(AND(ISNUMBER(G31),ISNUMBER(H31)),H31-G31+1,"")</f>
        <v>10</v>
      </c>
      <c r="R31" s="61" t="str">
        <f aca="false">IF(AND(ISNUMBER(H31),O31&lt;&gt;"Complete",H31&lt;AsOf),"Overdue","")</f>
        <v/>
      </c>
      <c r="S31" s="59" t="s">
        <v>172</v>
      </c>
    </row>
    <row r="32" customFormat="false" ht="22.35" hidden="false" customHeight="false" outlineLevel="0" collapsed="false">
      <c r="A32" s="48" t="s">
        <v>553</v>
      </c>
      <c r="B32" s="59" t="s">
        <v>81</v>
      </c>
      <c r="C32" s="48" t="s">
        <v>419</v>
      </c>
      <c r="D32" s="48" t="s">
        <v>547</v>
      </c>
      <c r="E32" s="48" t="s">
        <v>554</v>
      </c>
      <c r="F32" s="48" t="s">
        <v>555</v>
      </c>
      <c r="G32" s="60" t="n">
        <v>46314</v>
      </c>
      <c r="H32" s="60" t="n">
        <v>46318</v>
      </c>
      <c r="I32" s="48" t="s">
        <v>39</v>
      </c>
      <c r="J32" s="48" t="s">
        <v>39</v>
      </c>
      <c r="K32" s="48" t="s">
        <v>556</v>
      </c>
      <c r="L32" s="48" t="s">
        <v>375</v>
      </c>
      <c r="M32" s="48" t="s">
        <v>557</v>
      </c>
      <c r="N32" s="48" t="s">
        <v>445</v>
      </c>
      <c r="O32" s="57" t="str">
        <f aca="false">IFERROR(INDEX(Schedule!$G$5:$G$300,MATCH($B32,Schedule!$A$5:$A$300,0)),"Not Started")</f>
        <v>Not Started</v>
      </c>
      <c r="P32" s="49" t="s">
        <v>558</v>
      </c>
      <c r="Q32" s="59" t="n">
        <f aca="false">IF(AND(ISNUMBER(G32),ISNUMBER(H32)),H32-G32+1,"")</f>
        <v>5</v>
      </c>
      <c r="R32" s="61" t="str">
        <f aca="false">IF(AND(ISNUMBER(H32),O32&lt;&gt;"Complete",H32&lt;AsOf),"Overdue","")</f>
        <v/>
      </c>
      <c r="S32" s="59" t="s">
        <v>172</v>
      </c>
    </row>
    <row r="33" customFormat="false" ht="22.35" hidden="false" customHeight="false" outlineLevel="0" collapsed="false">
      <c r="A33" s="48" t="s">
        <v>87</v>
      </c>
      <c r="B33" s="59" t="s">
        <v>84</v>
      </c>
      <c r="C33" s="48" t="s">
        <v>419</v>
      </c>
      <c r="D33" s="48" t="s">
        <v>559</v>
      </c>
      <c r="E33" s="48" t="s">
        <v>560</v>
      </c>
      <c r="F33" s="48" t="s">
        <v>381</v>
      </c>
      <c r="G33" s="60" t="n">
        <v>46314</v>
      </c>
      <c r="H33" s="60" t="n">
        <v>46315</v>
      </c>
      <c r="I33" s="48" t="s">
        <v>86</v>
      </c>
      <c r="J33" s="48" t="s">
        <v>56</v>
      </c>
      <c r="K33" s="48" t="s">
        <v>561</v>
      </c>
      <c r="L33" s="48" t="s">
        <v>375</v>
      </c>
      <c r="M33" s="48" t="s">
        <v>562</v>
      </c>
      <c r="N33" s="48" t="s">
        <v>563</v>
      </c>
      <c r="O33" s="57" t="str">
        <f aca="false">IFERROR(INDEX(Schedule!$G$5:$G$300,MATCH($B33,Schedule!$A$5:$A$300,0)),"Not Started")</f>
        <v>Not Started</v>
      </c>
      <c r="P33" s="49" t="s">
        <v>564</v>
      </c>
      <c r="Q33" s="59" t="n">
        <f aca="false">IF(AND(ISNUMBER(G33),ISNUMBER(H33)),H33-G33+1,"")</f>
        <v>2</v>
      </c>
      <c r="R33" s="61" t="str">
        <f aca="false">IF(AND(ISNUMBER(H33),O33&lt;&gt;"Complete",H33&lt;AsOf),"Overdue","")</f>
        <v/>
      </c>
      <c r="S33" s="59" t="s">
        <v>375</v>
      </c>
    </row>
    <row r="34" customFormat="false" ht="22.35" hidden="false" customHeight="false" outlineLevel="0" collapsed="false">
      <c r="A34" s="48" t="s">
        <v>94</v>
      </c>
      <c r="B34" s="59" t="s">
        <v>91</v>
      </c>
      <c r="C34" s="48" t="s">
        <v>419</v>
      </c>
      <c r="D34" s="48" t="s">
        <v>565</v>
      </c>
      <c r="E34" s="48" t="s">
        <v>566</v>
      </c>
      <c r="F34" s="48" t="s">
        <v>375</v>
      </c>
      <c r="G34" s="60" t="n">
        <v>46314</v>
      </c>
      <c r="H34" s="60" t="n">
        <v>46318</v>
      </c>
      <c r="I34" s="48" t="s">
        <v>567</v>
      </c>
      <c r="J34" s="48" t="s">
        <v>567</v>
      </c>
      <c r="K34" s="48" t="s">
        <v>39</v>
      </c>
      <c r="L34" s="48" t="s">
        <v>375</v>
      </c>
      <c r="M34" s="48" t="s">
        <v>568</v>
      </c>
      <c r="N34" s="48" t="s">
        <v>445</v>
      </c>
      <c r="O34" s="57" t="str">
        <f aca="false">IFERROR(INDEX(Schedule!$G$5:$G$300,MATCH($B34,Schedule!$A$5:$A$300,0)),"Not Started")</f>
        <v>Not Started</v>
      </c>
      <c r="P34" s="49" t="s">
        <v>569</v>
      </c>
      <c r="Q34" s="59" t="n">
        <f aca="false">IF(AND(ISNUMBER(G34),ISNUMBER(H34)),H34-G34+1,"")</f>
        <v>5</v>
      </c>
      <c r="R34" s="61" t="str">
        <f aca="false">IF(AND(ISNUMBER(H34),O34&lt;&gt;"Complete",H34&lt;AsOf),"Overdue","")</f>
        <v/>
      </c>
      <c r="S34" s="59" t="s">
        <v>270</v>
      </c>
    </row>
    <row r="35" customFormat="false" ht="32.8" hidden="false" customHeight="false" outlineLevel="0" collapsed="false">
      <c r="A35" s="62" t="s">
        <v>98</v>
      </c>
      <c r="B35" s="63" t="s">
        <v>95</v>
      </c>
      <c r="C35" s="64" t="s">
        <v>419</v>
      </c>
      <c r="D35" s="64" t="s">
        <v>440</v>
      </c>
      <c r="E35" s="62" t="s">
        <v>570</v>
      </c>
      <c r="F35" s="64" t="s">
        <v>375</v>
      </c>
      <c r="G35" s="65" t="n">
        <v>46317</v>
      </c>
      <c r="H35" s="65" t="n">
        <v>46317</v>
      </c>
      <c r="I35" s="64" t="s">
        <v>56</v>
      </c>
      <c r="J35" s="64" t="s">
        <v>56</v>
      </c>
      <c r="K35" s="64" t="s">
        <v>571</v>
      </c>
      <c r="L35" s="64" t="s">
        <v>572</v>
      </c>
      <c r="M35" s="64" t="s">
        <v>573</v>
      </c>
      <c r="N35" s="64" t="s">
        <v>574</v>
      </c>
      <c r="O35" s="57" t="str">
        <f aca="false">IFERROR(INDEX(Schedule!$G$5:$G$300,MATCH($B35,Schedule!$A$5:$A$300,0)),"Not Started")</f>
        <v>Not Started</v>
      </c>
      <c r="P35" s="49"/>
      <c r="Q35" s="59" t="n">
        <f aca="false">IF(AND(ISNUMBER(G35),ISNUMBER(H35)),H35-G35+1,"")</f>
        <v>1</v>
      </c>
      <c r="R35" s="61" t="str">
        <f aca="false">IF(AND(ISNUMBER(H35),O35&lt;&gt;"Complete",H35&lt;AsOf),"Overdue","")</f>
        <v/>
      </c>
      <c r="S35" s="59" t="s">
        <v>98</v>
      </c>
    </row>
    <row r="36" customFormat="false" ht="22.35" hidden="false" customHeight="false" outlineLevel="0" collapsed="false">
      <c r="A36" s="48" t="s">
        <v>104</v>
      </c>
      <c r="B36" s="59" t="s">
        <v>101</v>
      </c>
      <c r="C36" s="48" t="s">
        <v>575</v>
      </c>
      <c r="D36" s="48" t="s">
        <v>420</v>
      </c>
      <c r="E36" s="48" t="s">
        <v>576</v>
      </c>
      <c r="F36" s="48" t="s">
        <v>442</v>
      </c>
      <c r="G36" s="60" t="n">
        <v>46316</v>
      </c>
      <c r="H36" s="60" t="n">
        <v>46317</v>
      </c>
      <c r="I36" s="48" t="s">
        <v>26</v>
      </c>
      <c r="J36" s="48" t="s">
        <v>22</v>
      </c>
      <c r="K36" s="48" t="s">
        <v>22</v>
      </c>
      <c r="L36" s="48" t="s">
        <v>577</v>
      </c>
      <c r="M36" s="48" t="s">
        <v>578</v>
      </c>
      <c r="N36" s="48" t="s">
        <v>445</v>
      </c>
      <c r="O36" s="57" t="str">
        <f aca="false">IFERROR(INDEX(Schedule!$G$5:$G$300,MATCH($B36,Schedule!$A$5:$A$300,0)),"Not Started")</f>
        <v>Not Started</v>
      </c>
      <c r="P36" s="49" t="s">
        <v>579</v>
      </c>
      <c r="Q36" s="59" t="n">
        <f aca="false">IF(AND(ISNUMBER(G36),ISNUMBER(H36)),H36-G36+1,"")</f>
        <v>2</v>
      </c>
      <c r="R36" s="61" t="str">
        <f aca="false">IF(AND(ISNUMBER(H36),O36&lt;&gt;"Complete",H36&lt;AsOf),"Overdue","")</f>
        <v/>
      </c>
      <c r="S36" s="59" t="s">
        <v>580</v>
      </c>
    </row>
    <row r="37" customFormat="false" ht="22.35" hidden="false" customHeight="false" outlineLevel="0" collapsed="false">
      <c r="A37" s="48" t="s">
        <v>108</v>
      </c>
      <c r="B37" s="59" t="s">
        <v>105</v>
      </c>
      <c r="C37" s="48" t="s">
        <v>575</v>
      </c>
      <c r="D37" s="48" t="s">
        <v>420</v>
      </c>
      <c r="E37" s="48" t="s">
        <v>581</v>
      </c>
      <c r="F37" s="48" t="s">
        <v>361</v>
      </c>
      <c r="G37" s="60" t="n">
        <v>46317</v>
      </c>
      <c r="H37" s="60" t="n">
        <v>46317</v>
      </c>
      <c r="I37" s="48" t="s">
        <v>22</v>
      </c>
      <c r="J37" s="48" t="s">
        <v>22</v>
      </c>
      <c r="K37" s="48" t="s">
        <v>39</v>
      </c>
      <c r="L37" s="48" t="s">
        <v>582</v>
      </c>
      <c r="M37" s="48" t="s">
        <v>583</v>
      </c>
      <c r="N37" s="48" t="s">
        <v>445</v>
      </c>
      <c r="O37" s="57" t="str">
        <f aca="false">IFERROR(INDEX(Schedule!$G$5:$G$300,MATCH($B37,Schedule!$A$5:$A$300,0)),"Not Started")</f>
        <v>Not Started</v>
      </c>
      <c r="P37" s="49"/>
      <c r="Q37" s="59" t="n">
        <f aca="false">IF(AND(ISNUMBER(G37),ISNUMBER(H37)),H37-G37+1,"")</f>
        <v>1</v>
      </c>
      <c r="R37" s="61" t="str">
        <f aca="false">IF(AND(ISNUMBER(H37),O37&lt;&gt;"Complete",H37&lt;AsOf),"Overdue","")</f>
        <v/>
      </c>
      <c r="S37" s="59" t="s">
        <v>580</v>
      </c>
    </row>
    <row r="38" customFormat="false" ht="22.35" hidden="false" customHeight="false" outlineLevel="0" collapsed="false">
      <c r="A38" s="48" t="s">
        <v>111</v>
      </c>
      <c r="B38" s="59" t="s">
        <v>109</v>
      </c>
      <c r="C38" s="48" t="s">
        <v>575</v>
      </c>
      <c r="D38" s="48" t="s">
        <v>420</v>
      </c>
      <c r="E38" s="48" t="s">
        <v>584</v>
      </c>
      <c r="F38" s="48" t="s">
        <v>361</v>
      </c>
      <c r="G38" s="60" t="n">
        <v>46317</v>
      </c>
      <c r="H38" s="60" t="n">
        <v>46317</v>
      </c>
      <c r="I38" s="48" t="s">
        <v>22</v>
      </c>
      <c r="J38" s="48" t="s">
        <v>22</v>
      </c>
      <c r="K38" s="48" t="s">
        <v>436</v>
      </c>
      <c r="L38" s="48" t="s">
        <v>108</v>
      </c>
      <c r="M38" s="48" t="s">
        <v>585</v>
      </c>
      <c r="N38" s="48" t="s">
        <v>586</v>
      </c>
      <c r="O38" s="57" t="str">
        <f aca="false">IFERROR(INDEX(Schedule!$G$5:$G$300,MATCH($B38,Schedule!$A$5:$A$300,0)),"Not Started")</f>
        <v>Not Started</v>
      </c>
      <c r="P38" s="49" t="s">
        <v>587</v>
      </c>
      <c r="Q38" s="59" t="n">
        <f aca="false">IF(AND(ISNUMBER(G38),ISNUMBER(H38)),H38-G38+1,"")</f>
        <v>1</v>
      </c>
      <c r="R38" s="61" t="str">
        <f aca="false">IF(AND(ISNUMBER(H38),O38&lt;&gt;"Complete",H38&lt;AsOf),"Overdue","")</f>
        <v/>
      </c>
      <c r="S38" s="59" t="s">
        <v>588</v>
      </c>
    </row>
    <row r="39" customFormat="false" ht="22.35" hidden="false" customHeight="false" outlineLevel="0" collapsed="false">
      <c r="A39" s="48" t="s">
        <v>115</v>
      </c>
      <c r="B39" s="59" t="s">
        <v>112</v>
      </c>
      <c r="C39" s="48" t="s">
        <v>575</v>
      </c>
      <c r="D39" s="48" t="s">
        <v>420</v>
      </c>
      <c r="E39" s="48" t="s">
        <v>589</v>
      </c>
      <c r="F39" s="48" t="s">
        <v>361</v>
      </c>
      <c r="G39" s="60" t="n">
        <v>46317</v>
      </c>
      <c r="H39" s="60" t="n">
        <v>46320</v>
      </c>
      <c r="I39" s="48" t="s">
        <v>26</v>
      </c>
      <c r="J39" s="48" t="s">
        <v>22</v>
      </c>
      <c r="K39" s="48" t="s">
        <v>22</v>
      </c>
      <c r="L39" s="48" t="s">
        <v>590</v>
      </c>
      <c r="M39" s="48" t="s">
        <v>591</v>
      </c>
      <c r="N39" s="48" t="s">
        <v>476</v>
      </c>
      <c r="O39" s="57" t="str">
        <f aca="false">IFERROR(INDEX(Schedule!$G$5:$G$300,MATCH($B39,Schedule!$A$5:$A$300,0)),"Not Started")</f>
        <v>Not Started</v>
      </c>
      <c r="P39" s="49" t="s">
        <v>592</v>
      </c>
      <c r="Q39" s="59" t="n">
        <f aca="false">IF(AND(ISNUMBER(G39),ISNUMBER(H39)),H39-G39+1,"")</f>
        <v>4</v>
      </c>
      <c r="R39" s="61" t="str">
        <f aca="false">IF(AND(ISNUMBER(H39),O39&lt;&gt;"Complete",H39&lt;AsOf),"Overdue","")</f>
        <v/>
      </c>
      <c r="S39" s="59" t="s">
        <v>593</v>
      </c>
    </row>
    <row r="40" customFormat="false" ht="22.35" hidden="false" customHeight="false" outlineLevel="0" collapsed="false">
      <c r="A40" s="48" t="s">
        <v>119</v>
      </c>
      <c r="B40" s="59" t="s">
        <v>116</v>
      </c>
      <c r="C40" s="48" t="s">
        <v>575</v>
      </c>
      <c r="D40" s="48" t="s">
        <v>433</v>
      </c>
      <c r="E40" s="48" t="s">
        <v>594</v>
      </c>
      <c r="F40" s="48" t="s">
        <v>361</v>
      </c>
      <c r="G40" s="60" t="n">
        <v>46319</v>
      </c>
      <c r="H40" s="60" t="n">
        <v>46321</v>
      </c>
      <c r="I40" s="48" t="s">
        <v>436</v>
      </c>
      <c r="J40" s="48" t="s">
        <v>436</v>
      </c>
      <c r="K40" s="48" t="s">
        <v>22</v>
      </c>
      <c r="L40" s="48" t="s">
        <v>595</v>
      </c>
      <c r="M40" s="48" t="s">
        <v>596</v>
      </c>
      <c r="N40" s="48" t="s">
        <v>519</v>
      </c>
      <c r="O40" s="57" t="str">
        <f aca="false">IFERROR(INDEX(Schedule!$G$5:$G$300,MATCH($B40,Schedule!$A$5:$A$300,0)),"Not Started")</f>
        <v>Not Started</v>
      </c>
      <c r="P40" s="49" t="s">
        <v>597</v>
      </c>
      <c r="Q40" s="59" t="n">
        <f aca="false">IF(AND(ISNUMBER(G40),ISNUMBER(H40)),H40-G40+1,"")</f>
        <v>3</v>
      </c>
      <c r="R40" s="61" t="str">
        <f aca="false">IF(AND(ISNUMBER(H40),O40&lt;&gt;"Complete",H40&lt;AsOf),"Overdue","")</f>
        <v/>
      </c>
      <c r="S40" s="59" t="s">
        <v>598</v>
      </c>
    </row>
    <row r="41" customFormat="false" ht="22.35" hidden="false" customHeight="false" outlineLevel="0" collapsed="false">
      <c r="A41" s="48" t="s">
        <v>599</v>
      </c>
      <c r="B41" s="59" t="s">
        <v>120</v>
      </c>
      <c r="C41" s="48" t="s">
        <v>575</v>
      </c>
      <c r="D41" s="48" t="s">
        <v>420</v>
      </c>
      <c r="E41" s="48" t="s">
        <v>600</v>
      </c>
      <c r="F41" s="48" t="s">
        <v>361</v>
      </c>
      <c r="G41" s="60" t="n">
        <v>46320</v>
      </c>
      <c r="H41" s="60" t="n">
        <v>46321</v>
      </c>
      <c r="I41" s="48" t="s">
        <v>22</v>
      </c>
      <c r="J41" s="48" t="s">
        <v>22</v>
      </c>
      <c r="K41" s="48" t="s">
        <v>26</v>
      </c>
      <c r="L41" s="48" t="s">
        <v>115</v>
      </c>
      <c r="M41" s="48" t="s">
        <v>601</v>
      </c>
      <c r="N41" s="48" t="s">
        <v>530</v>
      </c>
      <c r="O41" s="57" t="str">
        <f aca="false">IFERROR(INDEX(Schedule!$G$5:$G$300,MATCH($B41,Schedule!$A$5:$A$300,0)),"Not Started")</f>
        <v>Not Started</v>
      </c>
      <c r="P41" s="49"/>
      <c r="Q41" s="59" t="n">
        <f aca="false">IF(AND(ISNUMBER(G41),ISNUMBER(H41)),H41-G41+1,"")</f>
        <v>2</v>
      </c>
      <c r="R41" s="61" t="str">
        <f aca="false">IF(AND(ISNUMBER(H41),O41&lt;&gt;"Complete",H41&lt;AsOf),"Overdue","")</f>
        <v/>
      </c>
      <c r="S41" s="59" t="s">
        <v>602</v>
      </c>
    </row>
    <row r="42" customFormat="false" ht="22.35" hidden="false" customHeight="false" outlineLevel="0" collapsed="false">
      <c r="A42" s="48" t="s">
        <v>603</v>
      </c>
      <c r="B42" s="59" t="s">
        <v>120</v>
      </c>
      <c r="C42" s="48" t="s">
        <v>575</v>
      </c>
      <c r="D42" s="48" t="s">
        <v>537</v>
      </c>
      <c r="E42" s="48" t="s">
        <v>604</v>
      </c>
      <c r="F42" s="48" t="s">
        <v>361</v>
      </c>
      <c r="G42" s="60" t="n">
        <v>46321</v>
      </c>
      <c r="H42" s="60" t="n">
        <v>46321</v>
      </c>
      <c r="I42" s="48" t="s">
        <v>22</v>
      </c>
      <c r="J42" s="48" t="s">
        <v>22</v>
      </c>
      <c r="K42" s="48" t="s">
        <v>436</v>
      </c>
      <c r="L42" s="48" t="s">
        <v>599</v>
      </c>
      <c r="M42" s="48" t="s">
        <v>605</v>
      </c>
      <c r="N42" s="48" t="s">
        <v>606</v>
      </c>
      <c r="O42" s="57" t="str">
        <f aca="false">IFERROR(INDEX(Schedule!$G$5:$G$300,MATCH($B42,Schedule!$A$5:$A$300,0)),"Not Started")</f>
        <v>Not Started</v>
      </c>
      <c r="P42" s="49" t="s">
        <v>607</v>
      </c>
      <c r="Q42" s="59" t="n">
        <f aca="false">IF(AND(ISNUMBER(G42),ISNUMBER(H42)),H42-G42+1,"")</f>
        <v>1</v>
      </c>
      <c r="R42" s="61" t="str">
        <f aca="false">IF(AND(ISNUMBER(H42),O42&lt;&gt;"Complete",H42&lt;AsOf),"Overdue","")</f>
        <v/>
      </c>
      <c r="S42" s="59" t="s">
        <v>608</v>
      </c>
    </row>
    <row r="43" customFormat="false" ht="22.35" hidden="false" customHeight="false" outlineLevel="0" collapsed="false">
      <c r="A43" s="48" t="s">
        <v>125</v>
      </c>
      <c r="B43" s="59" t="s">
        <v>123</v>
      </c>
      <c r="C43" s="48" t="s">
        <v>575</v>
      </c>
      <c r="D43" s="48" t="s">
        <v>526</v>
      </c>
      <c r="E43" s="48" t="s">
        <v>609</v>
      </c>
      <c r="F43" s="48" t="s">
        <v>361</v>
      </c>
      <c r="G43" s="60" t="n">
        <v>46321</v>
      </c>
      <c r="H43" s="60" t="n">
        <v>46322</v>
      </c>
      <c r="I43" s="48" t="s">
        <v>528</v>
      </c>
      <c r="J43" s="48" t="s">
        <v>528</v>
      </c>
      <c r="K43" s="48" t="s">
        <v>22</v>
      </c>
      <c r="L43" s="48" t="s">
        <v>599</v>
      </c>
      <c r="M43" s="48" t="s">
        <v>610</v>
      </c>
      <c r="N43" s="48" t="s">
        <v>611</v>
      </c>
      <c r="O43" s="57" t="str">
        <f aca="false">IFERROR(INDEX(Schedule!$G$5:$G$300,MATCH($B43,Schedule!$A$5:$A$300,0)),"Not Started")</f>
        <v>Not Started</v>
      </c>
      <c r="P43" s="49" t="s">
        <v>612</v>
      </c>
      <c r="Q43" s="59" t="n">
        <f aca="false">IF(AND(ISNUMBER(G43),ISNUMBER(H43)),H43-G43+1,"")</f>
        <v>2</v>
      </c>
      <c r="R43" s="61" t="str">
        <f aca="false">IF(AND(ISNUMBER(H43),O43&lt;&gt;"Complete",H43&lt;AsOf),"Overdue","")</f>
        <v/>
      </c>
      <c r="S43" s="59" t="s">
        <v>613</v>
      </c>
    </row>
    <row r="44" customFormat="false" ht="22.35" hidden="false" customHeight="false" outlineLevel="0" collapsed="false">
      <c r="A44" s="48" t="s">
        <v>128</v>
      </c>
      <c r="B44" s="59" t="s">
        <v>126</v>
      </c>
      <c r="C44" s="48" t="s">
        <v>575</v>
      </c>
      <c r="D44" s="48" t="s">
        <v>433</v>
      </c>
      <c r="E44" s="48" t="s">
        <v>614</v>
      </c>
      <c r="F44" s="48" t="s">
        <v>361</v>
      </c>
      <c r="G44" s="60" t="n">
        <v>46321</v>
      </c>
      <c r="H44" s="60" t="n">
        <v>46323</v>
      </c>
      <c r="I44" s="48" t="s">
        <v>436</v>
      </c>
      <c r="J44" s="48" t="s">
        <v>436</v>
      </c>
      <c r="K44" s="48" t="s">
        <v>39</v>
      </c>
      <c r="L44" s="48" t="s">
        <v>119</v>
      </c>
      <c r="M44" s="48" t="s">
        <v>615</v>
      </c>
      <c r="N44" s="48" t="s">
        <v>438</v>
      </c>
      <c r="O44" s="57" t="str">
        <f aca="false">IFERROR(INDEX(Schedule!$G$5:$G$300,MATCH($B44,Schedule!$A$5:$A$300,0)),"Not Started")</f>
        <v>Not Started</v>
      </c>
      <c r="P44" s="49"/>
      <c r="Q44" s="59" t="n">
        <f aca="false">IF(AND(ISNUMBER(G44),ISNUMBER(H44)),H44-G44+1,"")</f>
        <v>3</v>
      </c>
      <c r="R44" s="61" t="str">
        <f aca="false">IF(AND(ISNUMBER(H44),O44&lt;&gt;"Complete",H44&lt;AsOf),"Overdue","")</f>
        <v/>
      </c>
      <c r="S44" s="59" t="s">
        <v>616</v>
      </c>
    </row>
    <row r="45" customFormat="false" ht="22.35" hidden="false" customHeight="false" outlineLevel="0" collapsed="false">
      <c r="A45" s="48" t="s">
        <v>65</v>
      </c>
      <c r="B45" s="59" t="s">
        <v>129</v>
      </c>
      <c r="C45" s="48" t="s">
        <v>575</v>
      </c>
      <c r="D45" s="48" t="s">
        <v>565</v>
      </c>
      <c r="E45" s="48" t="s">
        <v>617</v>
      </c>
      <c r="F45" s="48" t="s">
        <v>361</v>
      </c>
      <c r="G45" s="60" t="n">
        <v>46321</v>
      </c>
      <c r="H45" s="60" t="n">
        <v>46323</v>
      </c>
      <c r="I45" s="48" t="s">
        <v>39</v>
      </c>
      <c r="J45" s="48" t="s">
        <v>567</v>
      </c>
      <c r="K45" s="48" t="s">
        <v>618</v>
      </c>
      <c r="L45" s="48" t="s">
        <v>122</v>
      </c>
      <c r="M45" s="48" t="s">
        <v>619</v>
      </c>
      <c r="N45" s="48" t="s">
        <v>445</v>
      </c>
      <c r="O45" s="57" t="str">
        <f aca="false">IFERROR(INDEX(Schedule!$G$5:$G$300,MATCH($B45,Schedule!$A$5:$A$300,0)),"Not Started")</f>
        <v>Not Started</v>
      </c>
      <c r="P45" s="49"/>
      <c r="Q45" s="59" t="n">
        <f aca="false">IF(AND(ISNUMBER(G45),ISNUMBER(H45)),H45-G45+1,"")</f>
        <v>3</v>
      </c>
      <c r="R45" s="61" t="str">
        <f aca="false">IF(AND(ISNUMBER(H45),O45&lt;&gt;"Complete",H45&lt;AsOf),"Overdue","")</f>
        <v/>
      </c>
      <c r="S45" s="59" t="s">
        <v>620</v>
      </c>
    </row>
    <row r="46" customFormat="false" ht="22.35" hidden="false" customHeight="false" outlineLevel="0" collapsed="false">
      <c r="A46" s="48" t="s">
        <v>68</v>
      </c>
      <c r="B46" s="59" t="s">
        <v>131</v>
      </c>
      <c r="C46" s="48" t="s">
        <v>575</v>
      </c>
      <c r="D46" s="48" t="s">
        <v>420</v>
      </c>
      <c r="E46" s="48" t="s">
        <v>621</v>
      </c>
      <c r="F46" s="48" t="s">
        <v>361</v>
      </c>
      <c r="G46" s="60" t="n">
        <v>46323</v>
      </c>
      <c r="H46" s="60" t="n">
        <v>46323</v>
      </c>
      <c r="I46" s="48" t="s">
        <v>22</v>
      </c>
      <c r="J46" s="48" t="s">
        <v>22</v>
      </c>
      <c r="K46" s="48" t="s">
        <v>26</v>
      </c>
      <c r="L46" s="48" t="s">
        <v>115</v>
      </c>
      <c r="M46" s="48" t="s">
        <v>622</v>
      </c>
      <c r="N46" s="48" t="s">
        <v>445</v>
      </c>
      <c r="O46" s="57" t="str">
        <f aca="false">IFERROR(INDEX(Schedule!$G$5:$G$300,MATCH($B46,Schedule!$A$5:$A$300,0)),"Not Started")</f>
        <v>Not Started</v>
      </c>
      <c r="P46" s="49"/>
      <c r="Q46" s="59" t="n">
        <f aca="false">IF(AND(ISNUMBER(G46),ISNUMBER(H46)),H46-G46+1,"")</f>
        <v>1</v>
      </c>
      <c r="R46" s="61" t="str">
        <f aca="false">IF(AND(ISNUMBER(H46),O46&lt;&gt;"Complete",H46&lt;AsOf),"Overdue","")</f>
        <v/>
      </c>
      <c r="S46" s="59" t="s">
        <v>623</v>
      </c>
    </row>
    <row r="47" customFormat="false" ht="22.35" hidden="false" customHeight="false" outlineLevel="0" collapsed="false">
      <c r="A47" s="62" t="s">
        <v>136</v>
      </c>
      <c r="B47" s="63" t="s">
        <v>133</v>
      </c>
      <c r="C47" s="64" t="s">
        <v>575</v>
      </c>
      <c r="D47" s="64" t="s">
        <v>440</v>
      </c>
      <c r="E47" s="62" t="s">
        <v>624</v>
      </c>
      <c r="F47" s="64" t="s">
        <v>375</v>
      </c>
      <c r="G47" s="65" t="n">
        <v>46324</v>
      </c>
      <c r="H47" s="65" t="n">
        <v>46324</v>
      </c>
      <c r="I47" s="64" t="s">
        <v>56</v>
      </c>
      <c r="J47" s="64" t="s">
        <v>56</v>
      </c>
      <c r="K47" s="64" t="s">
        <v>625</v>
      </c>
      <c r="L47" s="64" t="s">
        <v>626</v>
      </c>
      <c r="M47" s="64" t="s">
        <v>627</v>
      </c>
      <c r="N47" s="64" t="s">
        <v>445</v>
      </c>
      <c r="O47" s="57" t="str">
        <f aca="false">IFERROR(INDEX(Schedule!$G$5:$G$300,MATCH($B47,Schedule!$A$5:$A$300,0)),"Not Started")</f>
        <v>Not Started</v>
      </c>
      <c r="P47" s="49"/>
      <c r="Q47" s="59" t="n">
        <f aca="false">IF(AND(ISNUMBER(G47),ISNUMBER(H47)),H47-G47+1,"")</f>
        <v>1</v>
      </c>
      <c r="R47" s="61" t="str">
        <f aca="false">IF(AND(ISNUMBER(H47),O47&lt;&gt;"Complete",H47&lt;AsOf),"Overdue","")</f>
        <v/>
      </c>
      <c r="S47" s="59" t="s">
        <v>136</v>
      </c>
    </row>
    <row r="48" customFormat="false" ht="22.35" hidden="false" customHeight="false" outlineLevel="0" collapsed="false">
      <c r="A48" s="48" t="s">
        <v>141</v>
      </c>
      <c r="B48" s="59" t="s">
        <v>139</v>
      </c>
      <c r="C48" s="48" t="s">
        <v>628</v>
      </c>
      <c r="D48" s="48" t="s">
        <v>420</v>
      </c>
      <c r="E48" s="48" t="s">
        <v>629</v>
      </c>
      <c r="F48" s="48" t="s">
        <v>630</v>
      </c>
      <c r="G48" s="60" t="n">
        <v>46322</v>
      </c>
      <c r="H48" s="60" t="n">
        <v>46323</v>
      </c>
      <c r="I48" s="48" t="s">
        <v>26</v>
      </c>
      <c r="J48" s="48" t="s">
        <v>22</v>
      </c>
      <c r="K48" s="48" t="s">
        <v>22</v>
      </c>
      <c r="L48" s="48" t="s">
        <v>472</v>
      </c>
      <c r="M48" s="48" t="s">
        <v>631</v>
      </c>
      <c r="N48" s="48" t="s">
        <v>514</v>
      </c>
      <c r="O48" s="57" t="str">
        <f aca="false">IFERROR(INDEX(Schedule!$G$5:$G$300,MATCH($B48,Schedule!$A$5:$A$300,0)),"Not Started")</f>
        <v>Not Started</v>
      </c>
      <c r="P48" s="49" t="s">
        <v>632</v>
      </c>
      <c r="Q48" s="59" t="n">
        <f aca="false">IF(AND(ISNUMBER(G48),ISNUMBER(H48)),H48-G48+1,"")</f>
        <v>2</v>
      </c>
      <c r="R48" s="61" t="str">
        <f aca="false">IF(AND(ISNUMBER(H48),O48&lt;&gt;"Complete",H48&lt;AsOf),"Overdue","")</f>
        <v/>
      </c>
      <c r="S48" s="59" t="s">
        <v>633</v>
      </c>
    </row>
    <row r="49" customFormat="false" ht="22.35" hidden="false" customHeight="false" outlineLevel="0" collapsed="false">
      <c r="A49" s="48" t="s">
        <v>144</v>
      </c>
      <c r="B49" s="59" t="s">
        <v>142</v>
      </c>
      <c r="C49" s="48" t="s">
        <v>628</v>
      </c>
      <c r="D49" s="48" t="s">
        <v>420</v>
      </c>
      <c r="E49" s="48" t="s">
        <v>634</v>
      </c>
      <c r="F49" s="48" t="s">
        <v>635</v>
      </c>
      <c r="G49" s="60" t="n">
        <v>46323</v>
      </c>
      <c r="H49" s="60" t="n">
        <v>46324</v>
      </c>
      <c r="I49" s="48" t="s">
        <v>22</v>
      </c>
      <c r="J49" s="48" t="s">
        <v>22</v>
      </c>
      <c r="K49" s="48" t="s">
        <v>436</v>
      </c>
      <c r="L49" s="48" t="s">
        <v>141</v>
      </c>
      <c r="M49" s="48" t="s">
        <v>636</v>
      </c>
      <c r="N49" s="48" t="s">
        <v>514</v>
      </c>
      <c r="O49" s="57" t="str">
        <f aca="false">IFERROR(INDEX(Schedule!$G$5:$G$300,MATCH($B49,Schedule!$A$5:$A$300,0)),"Not Started")</f>
        <v>Not Started</v>
      </c>
      <c r="P49" s="49"/>
      <c r="Q49" s="59" t="n">
        <f aca="false">IF(AND(ISNUMBER(G49),ISNUMBER(H49)),H49-G49+1,"")</f>
        <v>2</v>
      </c>
      <c r="R49" s="61" t="str">
        <f aca="false">IF(AND(ISNUMBER(H49),O49&lt;&gt;"Complete",H49&lt;AsOf),"Overdue","")</f>
        <v/>
      </c>
      <c r="S49" s="59" t="s">
        <v>633</v>
      </c>
    </row>
    <row r="50" customFormat="false" ht="22.35" hidden="false" customHeight="false" outlineLevel="0" collapsed="false">
      <c r="A50" s="48" t="s">
        <v>147</v>
      </c>
      <c r="B50" s="59" t="s">
        <v>145</v>
      </c>
      <c r="C50" s="48" t="s">
        <v>628</v>
      </c>
      <c r="D50" s="48" t="s">
        <v>440</v>
      </c>
      <c r="E50" s="48" t="s">
        <v>637</v>
      </c>
      <c r="F50" s="48" t="s">
        <v>638</v>
      </c>
      <c r="G50" s="60" t="n">
        <v>46325</v>
      </c>
      <c r="H50" s="60" t="n">
        <v>46325</v>
      </c>
      <c r="I50" s="48" t="s">
        <v>436</v>
      </c>
      <c r="J50" s="48" t="s">
        <v>56</v>
      </c>
      <c r="K50" s="48" t="s">
        <v>22</v>
      </c>
      <c r="L50" s="48" t="s">
        <v>90</v>
      </c>
      <c r="M50" s="48" t="s">
        <v>639</v>
      </c>
      <c r="N50" s="48" t="s">
        <v>514</v>
      </c>
      <c r="O50" s="57" t="str">
        <f aca="false">IFERROR(INDEX(Schedule!$G$5:$G$300,MATCH($B50,Schedule!$A$5:$A$300,0)),"Not Started")</f>
        <v>Not Started</v>
      </c>
      <c r="P50" s="49"/>
      <c r="Q50" s="59" t="n">
        <f aca="false">IF(AND(ISNUMBER(G50),ISNUMBER(H50)),H50-G50+1,"")</f>
        <v>1</v>
      </c>
      <c r="R50" s="61" t="str">
        <f aca="false">IF(AND(ISNUMBER(H50),O50&lt;&gt;"Complete",H50&lt;AsOf),"Overdue","")</f>
        <v/>
      </c>
      <c r="S50" s="59" t="s">
        <v>640</v>
      </c>
    </row>
    <row r="51" customFormat="false" ht="22.35" hidden="false" customHeight="false" outlineLevel="0" collapsed="false">
      <c r="A51" s="48" t="s">
        <v>150</v>
      </c>
      <c r="B51" s="59" t="s">
        <v>148</v>
      </c>
      <c r="C51" s="48" t="s">
        <v>628</v>
      </c>
      <c r="D51" s="48" t="s">
        <v>420</v>
      </c>
      <c r="E51" s="48" t="s">
        <v>641</v>
      </c>
      <c r="F51" s="48" t="s">
        <v>367</v>
      </c>
      <c r="G51" s="60" t="n">
        <v>46325</v>
      </c>
      <c r="H51" s="60" t="n">
        <v>46327</v>
      </c>
      <c r="I51" s="48" t="s">
        <v>26</v>
      </c>
      <c r="J51" s="48" t="s">
        <v>22</v>
      </c>
      <c r="K51" s="48" t="s">
        <v>22</v>
      </c>
      <c r="L51" s="48" t="s">
        <v>136</v>
      </c>
      <c r="M51" s="48" t="s">
        <v>642</v>
      </c>
      <c r="N51" s="48" t="s">
        <v>643</v>
      </c>
      <c r="O51" s="57" t="str">
        <f aca="false">IFERROR(INDEX(Schedule!$G$5:$G$300,MATCH($B51,Schedule!$A$5:$A$300,0)),"Not Started")</f>
        <v>Not Started</v>
      </c>
      <c r="P51" s="49" t="s">
        <v>644</v>
      </c>
      <c r="Q51" s="59" t="n">
        <f aca="false">IF(AND(ISNUMBER(G51),ISNUMBER(H51)),H51-G51+1,"")</f>
        <v>3</v>
      </c>
      <c r="R51" s="61" t="str">
        <f aca="false">IF(AND(ISNUMBER(H51),O51&lt;&gt;"Complete",H51&lt;AsOf),"Overdue","")</f>
        <v/>
      </c>
      <c r="S51" s="59" t="s">
        <v>645</v>
      </c>
    </row>
    <row r="52" customFormat="false" ht="22.35" hidden="false" customHeight="false" outlineLevel="0" collapsed="false">
      <c r="A52" s="48" t="s">
        <v>153</v>
      </c>
      <c r="B52" s="59" t="s">
        <v>151</v>
      </c>
      <c r="C52" s="48" t="s">
        <v>628</v>
      </c>
      <c r="D52" s="48" t="s">
        <v>433</v>
      </c>
      <c r="E52" s="48" t="s">
        <v>646</v>
      </c>
      <c r="F52" s="48" t="s">
        <v>367</v>
      </c>
      <c r="G52" s="60" t="n">
        <v>46326</v>
      </c>
      <c r="H52" s="60" t="n">
        <v>46328</v>
      </c>
      <c r="I52" s="48" t="s">
        <v>436</v>
      </c>
      <c r="J52" s="48" t="s">
        <v>436</v>
      </c>
      <c r="K52" s="48" t="s">
        <v>647</v>
      </c>
      <c r="L52" s="48" t="s">
        <v>648</v>
      </c>
      <c r="M52" s="48" t="s">
        <v>649</v>
      </c>
      <c r="N52" s="48" t="s">
        <v>650</v>
      </c>
      <c r="O52" s="57" t="str">
        <f aca="false">IFERROR(INDEX(Schedule!$G$5:$G$300,MATCH($B52,Schedule!$A$5:$A$300,0)),"Not Started")</f>
        <v>Not Started</v>
      </c>
      <c r="P52" s="49" t="s">
        <v>651</v>
      </c>
      <c r="Q52" s="59" t="n">
        <f aca="false">IF(AND(ISNUMBER(G52),ISNUMBER(H52)),H52-G52+1,"")</f>
        <v>3</v>
      </c>
      <c r="R52" s="61" t="str">
        <f aca="false">IF(AND(ISNUMBER(H52),O52&lt;&gt;"Complete",H52&lt;AsOf),"Overdue","")</f>
        <v/>
      </c>
      <c r="S52" s="59" t="s">
        <v>652</v>
      </c>
    </row>
    <row r="53" customFormat="false" ht="22.35" hidden="false" customHeight="false" outlineLevel="0" collapsed="false">
      <c r="A53" s="48" t="s">
        <v>156</v>
      </c>
      <c r="B53" s="59" t="s">
        <v>154</v>
      </c>
      <c r="C53" s="48" t="s">
        <v>628</v>
      </c>
      <c r="D53" s="48" t="s">
        <v>420</v>
      </c>
      <c r="E53" s="48" t="s">
        <v>653</v>
      </c>
      <c r="F53" s="48" t="s">
        <v>367</v>
      </c>
      <c r="G53" s="60" t="n">
        <v>46327</v>
      </c>
      <c r="H53" s="60" t="n">
        <v>46328</v>
      </c>
      <c r="I53" s="48" t="s">
        <v>22</v>
      </c>
      <c r="J53" s="48" t="s">
        <v>22</v>
      </c>
      <c r="K53" s="48" t="s">
        <v>436</v>
      </c>
      <c r="L53" s="48" t="s">
        <v>150</v>
      </c>
      <c r="M53" s="48" t="s">
        <v>601</v>
      </c>
      <c r="N53" s="48" t="s">
        <v>654</v>
      </c>
      <c r="O53" s="57" t="str">
        <f aca="false">IFERROR(INDEX(Schedule!$G$5:$G$300,MATCH($B53,Schedule!$A$5:$A$300,0)),"Not Started")</f>
        <v>Not Started</v>
      </c>
      <c r="P53" s="49"/>
      <c r="Q53" s="59" t="n">
        <f aca="false">IF(AND(ISNUMBER(G53),ISNUMBER(H53)),H53-G53+1,"")</f>
        <v>2</v>
      </c>
      <c r="R53" s="61" t="str">
        <f aca="false">IF(AND(ISNUMBER(H53),O53&lt;&gt;"Complete",H53&lt;AsOf),"Overdue","")</f>
        <v/>
      </c>
      <c r="S53" s="59" t="s">
        <v>655</v>
      </c>
    </row>
    <row r="54" customFormat="false" ht="22.35" hidden="false" customHeight="false" outlineLevel="0" collapsed="false">
      <c r="A54" s="48" t="s">
        <v>159</v>
      </c>
      <c r="B54" s="59" t="s">
        <v>157</v>
      </c>
      <c r="C54" s="48" t="s">
        <v>628</v>
      </c>
      <c r="D54" s="48" t="s">
        <v>526</v>
      </c>
      <c r="E54" s="48" t="s">
        <v>656</v>
      </c>
      <c r="F54" s="48" t="s">
        <v>367</v>
      </c>
      <c r="G54" s="60" t="n">
        <v>46328</v>
      </c>
      <c r="H54" s="60" t="n">
        <v>46329</v>
      </c>
      <c r="I54" s="48" t="s">
        <v>528</v>
      </c>
      <c r="J54" s="48" t="s">
        <v>528</v>
      </c>
      <c r="K54" s="48" t="s">
        <v>22</v>
      </c>
      <c r="L54" s="48" t="s">
        <v>156</v>
      </c>
      <c r="M54" s="48" t="s">
        <v>657</v>
      </c>
      <c r="N54" s="48" t="s">
        <v>658</v>
      </c>
      <c r="O54" s="57" t="str">
        <f aca="false">IFERROR(INDEX(Schedule!$G$5:$G$300,MATCH($B54,Schedule!$A$5:$A$300,0)),"Not Started")</f>
        <v>Not Started</v>
      </c>
      <c r="P54" s="49"/>
      <c r="Q54" s="59" t="n">
        <f aca="false">IF(AND(ISNUMBER(G54),ISNUMBER(H54)),H54-G54+1,"")</f>
        <v>2</v>
      </c>
      <c r="R54" s="61" t="str">
        <f aca="false">IF(AND(ISNUMBER(H54),O54&lt;&gt;"Complete",H54&lt;AsOf),"Overdue","")</f>
        <v/>
      </c>
      <c r="S54" s="59" t="s">
        <v>659</v>
      </c>
    </row>
    <row r="55" customFormat="false" ht="22.35" hidden="false" customHeight="false" outlineLevel="0" collapsed="false">
      <c r="A55" s="48" t="s">
        <v>162</v>
      </c>
      <c r="B55" s="59" t="s">
        <v>160</v>
      </c>
      <c r="C55" s="48" t="s">
        <v>628</v>
      </c>
      <c r="D55" s="48" t="s">
        <v>433</v>
      </c>
      <c r="E55" s="48" t="s">
        <v>660</v>
      </c>
      <c r="F55" s="48" t="s">
        <v>367</v>
      </c>
      <c r="G55" s="60" t="n">
        <v>46328</v>
      </c>
      <c r="H55" s="60" t="n">
        <v>46330</v>
      </c>
      <c r="I55" s="48" t="s">
        <v>436</v>
      </c>
      <c r="J55" s="48" t="s">
        <v>436</v>
      </c>
      <c r="K55" s="48" t="s">
        <v>39</v>
      </c>
      <c r="L55" s="48" t="s">
        <v>153</v>
      </c>
      <c r="M55" s="48" t="s">
        <v>661</v>
      </c>
      <c r="N55" s="48" t="s">
        <v>662</v>
      </c>
      <c r="O55" s="57" t="str">
        <f aca="false">IFERROR(INDEX(Schedule!$G$5:$G$300,MATCH($B55,Schedule!$A$5:$A$300,0)),"Not Started")</f>
        <v>Not Started</v>
      </c>
      <c r="P55" s="49"/>
      <c r="Q55" s="59" t="n">
        <f aca="false">IF(AND(ISNUMBER(G55),ISNUMBER(H55)),H55-G55+1,"")</f>
        <v>3</v>
      </c>
      <c r="R55" s="61" t="str">
        <f aca="false">IF(AND(ISNUMBER(H55),O55&lt;&gt;"Complete",H55&lt;AsOf),"Overdue","")</f>
        <v/>
      </c>
      <c r="S55" s="59" t="s">
        <v>663</v>
      </c>
    </row>
    <row r="56" customFormat="false" ht="22.35" hidden="false" customHeight="false" outlineLevel="0" collapsed="false">
      <c r="A56" s="48" t="s">
        <v>165</v>
      </c>
      <c r="B56" s="59" t="s">
        <v>163</v>
      </c>
      <c r="C56" s="48" t="s">
        <v>628</v>
      </c>
      <c r="D56" s="48" t="s">
        <v>547</v>
      </c>
      <c r="E56" s="48" t="s">
        <v>664</v>
      </c>
      <c r="F56" s="48" t="s">
        <v>367</v>
      </c>
      <c r="G56" s="60" t="n">
        <v>46329</v>
      </c>
      <c r="H56" s="60" t="n">
        <v>46330</v>
      </c>
      <c r="I56" s="48" t="s">
        <v>39</v>
      </c>
      <c r="J56" s="48" t="s">
        <v>39</v>
      </c>
      <c r="K56" s="48" t="s">
        <v>665</v>
      </c>
      <c r="L56" s="48" t="s">
        <v>156</v>
      </c>
      <c r="M56" s="48" t="s">
        <v>666</v>
      </c>
      <c r="N56" s="48" t="s">
        <v>445</v>
      </c>
      <c r="O56" s="57" t="str">
        <f aca="false">IFERROR(INDEX(Schedule!$G$5:$G$300,MATCH($B56,Schedule!$A$5:$A$300,0)),"Not Started")</f>
        <v>Not Started</v>
      </c>
      <c r="P56" s="49"/>
      <c r="Q56" s="59" t="n">
        <f aca="false">IF(AND(ISNUMBER(G56),ISNUMBER(H56)),H56-G56+1,"")</f>
        <v>2</v>
      </c>
      <c r="R56" s="61" t="str">
        <f aca="false">IF(AND(ISNUMBER(H56),O56&lt;&gt;"Complete",H56&lt;AsOf),"Overdue","")</f>
        <v/>
      </c>
      <c r="S56" s="59" t="s">
        <v>667</v>
      </c>
    </row>
    <row r="57" customFormat="false" ht="22.35" hidden="false" customHeight="false" outlineLevel="0" collapsed="false">
      <c r="A57" s="48" t="s">
        <v>131</v>
      </c>
      <c r="B57" s="59" t="s">
        <v>166</v>
      </c>
      <c r="C57" s="48" t="s">
        <v>628</v>
      </c>
      <c r="D57" s="48" t="s">
        <v>440</v>
      </c>
      <c r="E57" s="48" t="s">
        <v>668</v>
      </c>
      <c r="F57" s="48" t="s">
        <v>669</v>
      </c>
      <c r="G57" s="60" t="n">
        <v>46325</v>
      </c>
      <c r="H57" s="60" t="n">
        <v>46339</v>
      </c>
      <c r="I57" s="48" t="s">
        <v>436</v>
      </c>
      <c r="J57" s="48" t="s">
        <v>436</v>
      </c>
      <c r="K57" s="48" t="s">
        <v>22</v>
      </c>
      <c r="L57" s="48" t="s">
        <v>144</v>
      </c>
      <c r="M57" s="48" t="s">
        <v>670</v>
      </c>
      <c r="N57" s="48" t="s">
        <v>514</v>
      </c>
      <c r="O57" s="57" t="str">
        <f aca="false">IFERROR(INDEX(Schedule!$G$5:$G$300,MATCH($B57,Schedule!$A$5:$A$300,0)),"Not Started")</f>
        <v>Not Started</v>
      </c>
      <c r="P57" s="49" t="s">
        <v>671</v>
      </c>
      <c r="Q57" s="59" t="n">
        <f aca="false">IF(AND(ISNUMBER(G57),ISNUMBER(H57)),H57-G57+1,"")</f>
        <v>15</v>
      </c>
      <c r="R57" s="61" t="str">
        <f aca="false">IF(AND(ISNUMBER(H57),O57&lt;&gt;"Complete",H57&lt;AsOf),"Overdue","")</f>
        <v/>
      </c>
      <c r="S57" s="59" t="s">
        <v>672</v>
      </c>
    </row>
    <row r="58" customFormat="false" ht="22.35" hidden="false" customHeight="false" outlineLevel="0" collapsed="false">
      <c r="A58" s="62" t="s">
        <v>171</v>
      </c>
      <c r="B58" s="63" t="s">
        <v>168</v>
      </c>
      <c r="C58" s="64" t="s">
        <v>628</v>
      </c>
      <c r="D58" s="64" t="s">
        <v>440</v>
      </c>
      <c r="E58" s="62" t="s">
        <v>673</v>
      </c>
      <c r="F58" s="64" t="s">
        <v>375</v>
      </c>
      <c r="G58" s="65" t="n">
        <v>46330</v>
      </c>
      <c r="H58" s="65" t="n">
        <v>46330</v>
      </c>
      <c r="I58" s="64" t="s">
        <v>56</v>
      </c>
      <c r="J58" s="64" t="s">
        <v>56</v>
      </c>
      <c r="K58" s="64" t="s">
        <v>674</v>
      </c>
      <c r="L58" s="64" t="s">
        <v>675</v>
      </c>
      <c r="M58" s="64" t="s">
        <v>676</v>
      </c>
      <c r="N58" s="64" t="s">
        <v>519</v>
      </c>
      <c r="O58" s="57" t="str">
        <f aca="false">IFERROR(INDEX(Schedule!$G$5:$G$300,MATCH($B58,Schedule!$A$5:$A$300,0)),"Not Started")</f>
        <v>Not Started</v>
      </c>
      <c r="P58" s="49"/>
      <c r="Q58" s="59" t="n">
        <f aca="false">IF(AND(ISNUMBER(G58),ISNUMBER(H58)),H58-G58+1,"")</f>
        <v>1</v>
      </c>
      <c r="R58" s="61" t="str">
        <f aca="false">IF(AND(ISNUMBER(H58),O58&lt;&gt;"Complete",H58&lt;AsOf),"Overdue","")</f>
        <v/>
      </c>
      <c r="S58" s="59" t="s">
        <v>171</v>
      </c>
    </row>
    <row r="59" customFormat="false" ht="22.35" hidden="false" customHeight="false" outlineLevel="0" collapsed="false">
      <c r="A59" s="48" t="s">
        <v>176</v>
      </c>
      <c r="B59" s="59" t="s">
        <v>174</v>
      </c>
      <c r="C59" s="48" t="s">
        <v>677</v>
      </c>
      <c r="D59" s="48" t="s">
        <v>420</v>
      </c>
      <c r="E59" s="48" t="s">
        <v>678</v>
      </c>
      <c r="F59" s="48" t="s">
        <v>679</v>
      </c>
      <c r="G59" s="60" t="n">
        <v>46330</v>
      </c>
      <c r="H59" s="60" t="n">
        <v>46331</v>
      </c>
      <c r="I59" s="48" t="s">
        <v>26</v>
      </c>
      <c r="J59" s="48" t="s">
        <v>22</v>
      </c>
      <c r="K59" s="48" t="s">
        <v>22</v>
      </c>
      <c r="L59" s="48" t="s">
        <v>472</v>
      </c>
      <c r="M59" s="48" t="s">
        <v>680</v>
      </c>
      <c r="N59" s="48" t="s">
        <v>514</v>
      </c>
      <c r="O59" s="57" t="str">
        <f aca="false">IFERROR(INDEX(Schedule!$G$5:$G$300,MATCH($B59,Schedule!$A$5:$A$300,0)),"Not Started")</f>
        <v>Not Started</v>
      </c>
      <c r="P59" s="49"/>
      <c r="Q59" s="59" t="n">
        <f aca="false">IF(AND(ISNUMBER(G59),ISNUMBER(H59)),H59-G59+1,"")</f>
        <v>2</v>
      </c>
      <c r="R59" s="61" t="str">
        <f aca="false">IF(AND(ISNUMBER(H59),O59&lt;&gt;"Complete",H59&lt;AsOf),"Overdue","")</f>
        <v/>
      </c>
      <c r="S59" s="59" t="s">
        <v>681</v>
      </c>
    </row>
    <row r="60" customFormat="false" ht="22.35" hidden="false" customHeight="false" outlineLevel="0" collapsed="false">
      <c r="A60" s="48" t="s">
        <v>179</v>
      </c>
      <c r="B60" s="59" t="s">
        <v>177</v>
      </c>
      <c r="C60" s="48" t="s">
        <v>677</v>
      </c>
      <c r="D60" s="48" t="s">
        <v>420</v>
      </c>
      <c r="E60" s="48" t="s">
        <v>682</v>
      </c>
      <c r="F60" s="48" t="s">
        <v>683</v>
      </c>
      <c r="G60" s="60" t="n">
        <v>46331</v>
      </c>
      <c r="H60" s="60" t="n">
        <v>46332</v>
      </c>
      <c r="I60" s="48" t="s">
        <v>22</v>
      </c>
      <c r="J60" s="48" t="s">
        <v>22</v>
      </c>
      <c r="K60" s="48" t="s">
        <v>39</v>
      </c>
      <c r="L60" s="48" t="s">
        <v>176</v>
      </c>
      <c r="M60" s="48" t="s">
        <v>583</v>
      </c>
      <c r="N60" s="48" t="s">
        <v>445</v>
      </c>
      <c r="O60" s="57" t="str">
        <f aca="false">IFERROR(INDEX(Schedule!$G$5:$G$300,MATCH($B60,Schedule!$A$5:$A$300,0)),"Not Started")</f>
        <v>Not Started</v>
      </c>
      <c r="P60" s="49"/>
      <c r="Q60" s="59" t="n">
        <f aca="false">IF(AND(ISNUMBER(G60),ISNUMBER(H60)),H60-G60+1,"")</f>
        <v>2</v>
      </c>
      <c r="R60" s="61" t="str">
        <f aca="false">IF(AND(ISNUMBER(H60),O60&lt;&gt;"Complete",H60&lt;AsOf),"Overdue","")</f>
        <v/>
      </c>
      <c r="S60" s="59" t="s">
        <v>681</v>
      </c>
    </row>
    <row r="61" customFormat="false" ht="15" hidden="false" customHeight="false" outlineLevel="0" collapsed="false">
      <c r="A61" s="48" t="s">
        <v>182</v>
      </c>
      <c r="B61" s="59" t="s">
        <v>180</v>
      </c>
      <c r="C61" s="48" t="s">
        <v>677</v>
      </c>
      <c r="D61" s="48" t="s">
        <v>565</v>
      </c>
      <c r="E61" s="48" t="s">
        <v>684</v>
      </c>
      <c r="F61" s="48" t="s">
        <v>685</v>
      </c>
      <c r="G61" s="60" t="n">
        <v>46332</v>
      </c>
      <c r="H61" s="60" t="n">
        <v>46332</v>
      </c>
      <c r="I61" s="48" t="s">
        <v>567</v>
      </c>
      <c r="J61" s="48" t="s">
        <v>567</v>
      </c>
      <c r="K61" s="48" t="s">
        <v>39</v>
      </c>
      <c r="L61" s="48" t="s">
        <v>375</v>
      </c>
      <c r="M61" s="48" t="s">
        <v>686</v>
      </c>
      <c r="N61" s="48" t="s">
        <v>563</v>
      </c>
      <c r="O61" s="57" t="str">
        <f aca="false">IFERROR(INDEX(Schedule!$G$5:$G$300,MATCH($B61,Schedule!$A$5:$A$300,0)),"Not Started")</f>
        <v>Not Started</v>
      </c>
      <c r="P61" s="49" t="s">
        <v>687</v>
      </c>
      <c r="Q61" s="59" t="n">
        <f aca="false">IF(AND(ISNUMBER(G61),ISNUMBER(H61)),H61-G61+1,"")</f>
        <v>1</v>
      </c>
      <c r="R61" s="61" t="str">
        <f aca="false">IF(AND(ISNUMBER(H61),O61&lt;&gt;"Complete",H61&lt;AsOf),"Overdue","")</f>
        <v/>
      </c>
      <c r="S61" s="59" t="s">
        <v>688</v>
      </c>
    </row>
    <row r="62" customFormat="false" ht="22.35" hidden="false" customHeight="false" outlineLevel="0" collapsed="false">
      <c r="A62" s="48" t="s">
        <v>185</v>
      </c>
      <c r="B62" s="59" t="s">
        <v>183</v>
      </c>
      <c r="C62" s="48" t="s">
        <v>677</v>
      </c>
      <c r="D62" s="48" t="s">
        <v>547</v>
      </c>
      <c r="E62" s="48" t="s">
        <v>689</v>
      </c>
      <c r="F62" s="48" t="s">
        <v>690</v>
      </c>
      <c r="G62" s="60" t="n">
        <v>46332</v>
      </c>
      <c r="H62" s="60" t="n">
        <v>46332</v>
      </c>
      <c r="I62" s="48" t="s">
        <v>22</v>
      </c>
      <c r="J62" s="48" t="s">
        <v>22</v>
      </c>
      <c r="K62" s="48" t="s">
        <v>691</v>
      </c>
      <c r="L62" s="48" t="s">
        <v>83</v>
      </c>
      <c r="M62" s="48" t="s">
        <v>692</v>
      </c>
      <c r="N62" s="48" t="s">
        <v>643</v>
      </c>
      <c r="O62" s="57" t="str">
        <f aca="false">IFERROR(INDEX(Schedule!$G$5:$G$300,MATCH($B62,Schedule!$A$5:$A$300,0)),"Not Started")</f>
        <v>Not Started</v>
      </c>
      <c r="P62" s="49" t="s">
        <v>693</v>
      </c>
      <c r="Q62" s="59" t="n">
        <f aca="false">IF(AND(ISNUMBER(G62),ISNUMBER(H62)),H62-G62+1,"")</f>
        <v>1</v>
      </c>
      <c r="R62" s="61" t="str">
        <f aca="false">IF(AND(ISNUMBER(H62),O62&lt;&gt;"Complete",H62&lt;AsOf),"Overdue","")</f>
        <v/>
      </c>
      <c r="S62" s="59" t="s">
        <v>694</v>
      </c>
    </row>
    <row r="63" customFormat="false" ht="22.35" hidden="false" customHeight="false" outlineLevel="0" collapsed="false">
      <c r="A63" s="48" t="s">
        <v>188</v>
      </c>
      <c r="B63" s="59" t="s">
        <v>186</v>
      </c>
      <c r="C63" s="48" t="s">
        <v>677</v>
      </c>
      <c r="D63" s="48" t="s">
        <v>420</v>
      </c>
      <c r="E63" s="48" t="s">
        <v>695</v>
      </c>
      <c r="F63" s="48" t="s">
        <v>376</v>
      </c>
      <c r="G63" s="60" t="n">
        <v>46331</v>
      </c>
      <c r="H63" s="60" t="n">
        <v>46334</v>
      </c>
      <c r="I63" s="48" t="s">
        <v>26</v>
      </c>
      <c r="J63" s="48" t="s">
        <v>22</v>
      </c>
      <c r="K63" s="48" t="s">
        <v>22</v>
      </c>
      <c r="L63" s="48" t="s">
        <v>171</v>
      </c>
      <c r="M63" s="48" t="s">
        <v>696</v>
      </c>
      <c r="N63" s="48" t="s">
        <v>697</v>
      </c>
      <c r="O63" s="57" t="str">
        <f aca="false">IFERROR(INDEX(Schedule!$G$5:$G$300,MATCH($B63,Schedule!$A$5:$A$300,0)),"Not Started")</f>
        <v>Not Started</v>
      </c>
      <c r="P63" s="49" t="s">
        <v>698</v>
      </c>
      <c r="Q63" s="59" t="n">
        <f aca="false">IF(AND(ISNUMBER(G63),ISNUMBER(H63)),H63-G63+1,"")</f>
        <v>4</v>
      </c>
      <c r="R63" s="61" t="str">
        <f aca="false">IF(AND(ISNUMBER(H63),O63&lt;&gt;"Complete",H63&lt;AsOf),"Overdue","")</f>
        <v/>
      </c>
      <c r="S63" s="59" t="s">
        <v>699</v>
      </c>
    </row>
    <row r="64" customFormat="false" ht="22.35" hidden="false" customHeight="false" outlineLevel="0" collapsed="false">
      <c r="A64" s="48" t="s">
        <v>190</v>
      </c>
      <c r="B64" s="59" t="s">
        <v>189</v>
      </c>
      <c r="C64" s="48" t="s">
        <v>677</v>
      </c>
      <c r="D64" s="48" t="s">
        <v>420</v>
      </c>
      <c r="E64" s="48" t="s">
        <v>700</v>
      </c>
      <c r="F64" s="48" t="s">
        <v>376</v>
      </c>
      <c r="G64" s="60" t="n">
        <v>46334</v>
      </c>
      <c r="H64" s="60" t="n">
        <v>46334</v>
      </c>
      <c r="I64" s="48" t="s">
        <v>22</v>
      </c>
      <c r="J64" s="48" t="s">
        <v>22</v>
      </c>
      <c r="K64" s="48" t="s">
        <v>701</v>
      </c>
      <c r="L64" s="48" t="s">
        <v>188</v>
      </c>
      <c r="M64" s="48" t="s">
        <v>601</v>
      </c>
      <c r="N64" s="48" t="s">
        <v>702</v>
      </c>
      <c r="O64" s="57" t="str">
        <f aca="false">IFERROR(INDEX(Schedule!$G$5:$G$300,MATCH($B64,Schedule!$A$5:$A$300,0)),"Not Started")</f>
        <v>Not Started</v>
      </c>
      <c r="P64" s="49"/>
      <c r="Q64" s="59" t="n">
        <f aca="false">IF(AND(ISNUMBER(G64),ISNUMBER(H64)),H64-G64+1,"")</f>
        <v>1</v>
      </c>
      <c r="R64" s="61" t="str">
        <f aca="false">IF(AND(ISNUMBER(H64),O64&lt;&gt;"Complete",H64&lt;AsOf),"Overdue","")</f>
        <v/>
      </c>
      <c r="S64" s="59" t="s">
        <v>703</v>
      </c>
    </row>
    <row r="65" customFormat="false" ht="22.35" hidden="false" customHeight="false" outlineLevel="0" collapsed="false">
      <c r="A65" s="48" t="s">
        <v>193</v>
      </c>
      <c r="B65" s="59" t="s">
        <v>191</v>
      </c>
      <c r="C65" s="48" t="s">
        <v>677</v>
      </c>
      <c r="D65" s="48" t="s">
        <v>547</v>
      </c>
      <c r="E65" s="48" t="s">
        <v>704</v>
      </c>
      <c r="F65" s="48" t="s">
        <v>690</v>
      </c>
      <c r="G65" s="60" t="n">
        <v>46334</v>
      </c>
      <c r="H65" s="60" t="n">
        <v>46335</v>
      </c>
      <c r="I65" s="48" t="s">
        <v>39</v>
      </c>
      <c r="J65" s="48" t="s">
        <v>39</v>
      </c>
      <c r="K65" s="48" t="s">
        <v>665</v>
      </c>
      <c r="L65" s="48" t="s">
        <v>190</v>
      </c>
      <c r="M65" s="48" t="s">
        <v>705</v>
      </c>
      <c r="N65" s="48" t="s">
        <v>445</v>
      </c>
      <c r="O65" s="57" t="str">
        <f aca="false">IFERROR(INDEX(Schedule!$G$5:$G$300,MATCH($B65,Schedule!$A$5:$A$300,0)),"Not Started")</f>
        <v>Not Started</v>
      </c>
      <c r="P65" s="49"/>
      <c r="Q65" s="59" t="n">
        <f aca="false">IF(AND(ISNUMBER(G65),ISNUMBER(H65)),H65-G65+1,"")</f>
        <v>2</v>
      </c>
      <c r="R65" s="61" t="str">
        <f aca="false">IF(AND(ISNUMBER(H65),O65&lt;&gt;"Complete",H65&lt;AsOf),"Overdue","")</f>
        <v/>
      </c>
      <c r="S65" s="59" t="s">
        <v>706</v>
      </c>
    </row>
    <row r="66" customFormat="false" ht="22.35" hidden="false" customHeight="false" outlineLevel="0" collapsed="false">
      <c r="A66" s="48" t="s">
        <v>197</v>
      </c>
      <c r="B66" s="59" t="s">
        <v>194</v>
      </c>
      <c r="C66" s="48" t="s">
        <v>677</v>
      </c>
      <c r="D66" s="48" t="s">
        <v>565</v>
      </c>
      <c r="E66" s="48" t="s">
        <v>707</v>
      </c>
      <c r="F66" s="48" t="s">
        <v>685</v>
      </c>
      <c r="G66" s="60" t="n">
        <v>46335</v>
      </c>
      <c r="H66" s="60" t="n">
        <v>46338</v>
      </c>
      <c r="I66" s="48" t="s">
        <v>39</v>
      </c>
      <c r="J66" s="48" t="s">
        <v>567</v>
      </c>
      <c r="K66" s="48" t="s">
        <v>708</v>
      </c>
      <c r="L66" s="48" t="s">
        <v>709</v>
      </c>
      <c r="M66" s="48" t="s">
        <v>710</v>
      </c>
      <c r="N66" s="48" t="s">
        <v>445</v>
      </c>
      <c r="O66" s="57" t="str">
        <f aca="false">IFERROR(INDEX(Schedule!$G$5:$G$300,MATCH($B66,Schedule!$A$5:$A$300,0)),"Not Started")</f>
        <v>Not Started</v>
      </c>
      <c r="P66" s="49" t="s">
        <v>711</v>
      </c>
      <c r="Q66" s="59" t="n">
        <f aca="false">IF(AND(ISNUMBER(G66),ISNUMBER(H66)),H66-G66+1,"")</f>
        <v>4</v>
      </c>
      <c r="R66" s="61" t="str">
        <f aca="false">IF(AND(ISNUMBER(H66),O66&lt;&gt;"Complete",H66&lt;AsOf),"Overdue","")</f>
        <v/>
      </c>
      <c r="S66" s="59" t="s">
        <v>712</v>
      </c>
    </row>
    <row r="67" customFormat="false" ht="22.35" hidden="false" customHeight="false" outlineLevel="0" collapsed="false">
      <c r="A67" s="48" t="s">
        <v>200</v>
      </c>
      <c r="B67" s="59" t="s">
        <v>198</v>
      </c>
      <c r="C67" s="48" t="s">
        <v>677</v>
      </c>
      <c r="D67" s="48" t="s">
        <v>526</v>
      </c>
      <c r="E67" s="48" t="s">
        <v>713</v>
      </c>
      <c r="F67" s="48" t="s">
        <v>376</v>
      </c>
      <c r="G67" s="60" t="n">
        <v>46335</v>
      </c>
      <c r="H67" s="60" t="n">
        <v>46337</v>
      </c>
      <c r="I67" s="48" t="s">
        <v>528</v>
      </c>
      <c r="J67" s="48" t="s">
        <v>528</v>
      </c>
      <c r="K67" s="48" t="s">
        <v>22</v>
      </c>
      <c r="L67" s="48" t="s">
        <v>190</v>
      </c>
      <c r="M67" s="48" t="s">
        <v>714</v>
      </c>
      <c r="N67" s="48" t="s">
        <v>658</v>
      </c>
      <c r="O67" s="57" t="str">
        <f aca="false">IFERROR(INDEX(Schedule!$G$5:$G$300,MATCH($B67,Schedule!$A$5:$A$300,0)),"Not Started")</f>
        <v>Not Started</v>
      </c>
      <c r="P67" s="49"/>
      <c r="Q67" s="59" t="n">
        <f aca="false">IF(AND(ISNUMBER(G67),ISNUMBER(H67)),H67-G67+1,"")</f>
        <v>3</v>
      </c>
      <c r="R67" s="61" t="str">
        <f aca="false">IF(AND(ISNUMBER(H67),O67&lt;&gt;"Complete",H67&lt;AsOf),"Overdue","")</f>
        <v/>
      </c>
      <c r="S67" s="59" t="s">
        <v>712</v>
      </c>
    </row>
    <row r="68" customFormat="false" ht="22.35" hidden="false" customHeight="false" outlineLevel="0" collapsed="false">
      <c r="A68" s="48" t="s">
        <v>166</v>
      </c>
      <c r="B68" s="59" t="s">
        <v>201</v>
      </c>
      <c r="C68" s="48" t="s">
        <v>677</v>
      </c>
      <c r="D68" s="48" t="s">
        <v>559</v>
      </c>
      <c r="E68" s="48" t="s">
        <v>715</v>
      </c>
      <c r="F68" s="48" t="s">
        <v>716</v>
      </c>
      <c r="G68" s="60" t="n">
        <v>46335</v>
      </c>
      <c r="H68" s="60" t="n">
        <v>46337</v>
      </c>
      <c r="I68" s="48" t="s">
        <v>86</v>
      </c>
      <c r="J68" s="48" t="s">
        <v>86</v>
      </c>
      <c r="K68" s="48" t="s">
        <v>717</v>
      </c>
      <c r="L68" s="48" t="s">
        <v>190</v>
      </c>
      <c r="M68" s="48" t="s">
        <v>718</v>
      </c>
      <c r="N68" s="48" t="s">
        <v>438</v>
      </c>
      <c r="O68" s="57" t="str">
        <f aca="false">IFERROR(INDEX(Schedule!$G$5:$G$300,MATCH($B68,Schedule!$A$5:$A$300,0)),"Not Started")</f>
        <v>Not Started</v>
      </c>
      <c r="P68" s="49" t="s">
        <v>719</v>
      </c>
      <c r="Q68" s="59" t="n">
        <f aca="false">IF(AND(ISNUMBER(G68),ISNUMBER(H68)),H68-G68+1,"")</f>
        <v>3</v>
      </c>
      <c r="R68" s="61" t="str">
        <f aca="false">IF(AND(ISNUMBER(H68),O68&lt;&gt;"Complete",H68&lt;AsOf),"Overdue","")</f>
        <v/>
      </c>
      <c r="S68" s="59" t="s">
        <v>688</v>
      </c>
    </row>
    <row r="69" customFormat="false" ht="22.35" hidden="false" customHeight="false" outlineLevel="0" collapsed="false">
      <c r="A69" s="48" t="s">
        <v>168</v>
      </c>
      <c r="B69" s="59" t="s">
        <v>203</v>
      </c>
      <c r="C69" s="48" t="s">
        <v>677</v>
      </c>
      <c r="D69" s="48" t="s">
        <v>547</v>
      </c>
      <c r="E69" s="48" t="s">
        <v>720</v>
      </c>
      <c r="F69" s="48" t="s">
        <v>721</v>
      </c>
      <c r="G69" s="60" t="n">
        <v>46335</v>
      </c>
      <c r="H69" s="60" t="n">
        <v>46337</v>
      </c>
      <c r="I69" s="48" t="s">
        <v>39</v>
      </c>
      <c r="J69" s="48" t="s">
        <v>39</v>
      </c>
      <c r="K69" s="48" t="s">
        <v>22</v>
      </c>
      <c r="L69" s="48" t="s">
        <v>179</v>
      </c>
      <c r="M69" s="48" t="s">
        <v>722</v>
      </c>
      <c r="N69" s="48" t="s">
        <v>445</v>
      </c>
      <c r="O69" s="57" t="str">
        <f aca="false">IFERROR(INDEX(Schedule!$G$5:$G$300,MATCH($B69,Schedule!$A$5:$A$300,0)),"Not Started")</f>
        <v>Not Started</v>
      </c>
      <c r="P69" s="49"/>
      <c r="Q69" s="59" t="n">
        <f aca="false">IF(AND(ISNUMBER(G69),ISNUMBER(H69)),H69-G69+1,"")</f>
        <v>3</v>
      </c>
      <c r="R69" s="61" t="str">
        <f aca="false">IF(AND(ISNUMBER(H69),O69&lt;&gt;"Complete",H69&lt;AsOf),"Overdue","")</f>
        <v/>
      </c>
      <c r="S69" s="59" t="s">
        <v>681</v>
      </c>
    </row>
    <row r="70" customFormat="false" ht="22.35" hidden="false" customHeight="false" outlineLevel="0" collapsed="false">
      <c r="A70" s="48" t="s">
        <v>208</v>
      </c>
      <c r="B70" s="59" t="s">
        <v>205</v>
      </c>
      <c r="C70" s="48" t="s">
        <v>677</v>
      </c>
      <c r="D70" s="48" t="s">
        <v>565</v>
      </c>
      <c r="E70" s="48" t="s">
        <v>723</v>
      </c>
      <c r="F70" s="48" t="s">
        <v>638</v>
      </c>
      <c r="G70" s="60" t="n">
        <v>46335</v>
      </c>
      <c r="H70" s="60" t="n">
        <v>46338</v>
      </c>
      <c r="I70" s="48" t="s">
        <v>39</v>
      </c>
      <c r="J70" s="48" t="s">
        <v>567</v>
      </c>
      <c r="K70" s="48" t="s">
        <v>436</v>
      </c>
      <c r="L70" s="48" t="s">
        <v>724</v>
      </c>
      <c r="M70" s="48" t="s">
        <v>725</v>
      </c>
      <c r="N70" s="48" t="s">
        <v>514</v>
      </c>
      <c r="O70" s="57" t="str">
        <f aca="false">IFERROR(INDEX(Schedule!$G$5:$G$300,MATCH($B70,Schedule!$A$5:$A$300,0)),"Not Started")</f>
        <v>Not Started</v>
      </c>
      <c r="P70" s="49"/>
      <c r="Q70" s="59" t="n">
        <f aca="false">IF(AND(ISNUMBER(G70),ISNUMBER(H70)),H70-G70+1,"")</f>
        <v>4</v>
      </c>
      <c r="R70" s="61" t="str">
        <f aca="false">IF(AND(ISNUMBER(H70),O70&lt;&gt;"Complete",H70&lt;AsOf),"Overdue","")</f>
        <v/>
      </c>
      <c r="S70" s="59" t="s">
        <v>726</v>
      </c>
    </row>
    <row r="71" customFormat="false" ht="22.35" hidden="false" customHeight="false" outlineLevel="0" collapsed="false">
      <c r="A71" s="62" t="s">
        <v>212</v>
      </c>
      <c r="B71" s="63" t="s">
        <v>209</v>
      </c>
      <c r="C71" s="64" t="s">
        <v>677</v>
      </c>
      <c r="D71" s="64" t="s">
        <v>440</v>
      </c>
      <c r="E71" s="62" t="s">
        <v>727</v>
      </c>
      <c r="F71" s="64" t="s">
        <v>375</v>
      </c>
      <c r="G71" s="65" t="n">
        <v>46338</v>
      </c>
      <c r="H71" s="65" t="n">
        <v>46338</v>
      </c>
      <c r="I71" s="64" t="s">
        <v>56</v>
      </c>
      <c r="J71" s="64" t="s">
        <v>56</v>
      </c>
      <c r="K71" s="64" t="s">
        <v>728</v>
      </c>
      <c r="L71" s="64" t="s">
        <v>729</v>
      </c>
      <c r="M71" s="64" t="s">
        <v>730</v>
      </c>
      <c r="N71" s="64" t="s">
        <v>445</v>
      </c>
      <c r="O71" s="57" t="str">
        <f aca="false">IFERROR(INDEX(Schedule!$G$5:$G$300,MATCH($B71,Schedule!$A$5:$A$300,0)),"Not Started")</f>
        <v>Not Started</v>
      </c>
      <c r="P71" s="49"/>
      <c r="Q71" s="59" t="n">
        <f aca="false">IF(AND(ISNUMBER(G71),ISNUMBER(H71)),H71-G71+1,"")</f>
        <v>1</v>
      </c>
      <c r="R71" s="61" t="str">
        <f aca="false">IF(AND(ISNUMBER(H71),O71&lt;&gt;"Complete",H71&lt;AsOf),"Overdue","")</f>
        <v/>
      </c>
      <c r="S71" s="59" t="s">
        <v>212</v>
      </c>
    </row>
    <row r="72" customFormat="false" ht="22.35" hidden="false" customHeight="false" outlineLevel="0" collapsed="false">
      <c r="A72" s="48" t="s">
        <v>218</v>
      </c>
      <c r="B72" s="59" t="s">
        <v>215</v>
      </c>
      <c r="C72" s="48" t="s">
        <v>731</v>
      </c>
      <c r="D72" s="48" t="s">
        <v>565</v>
      </c>
      <c r="E72" s="48" t="s">
        <v>732</v>
      </c>
      <c r="F72" s="48" t="s">
        <v>733</v>
      </c>
      <c r="G72" s="60" t="n">
        <v>46335</v>
      </c>
      <c r="H72" s="60" t="n">
        <v>46339</v>
      </c>
      <c r="I72" s="48" t="s">
        <v>734</v>
      </c>
      <c r="J72" s="48" t="s">
        <v>567</v>
      </c>
      <c r="K72" s="48" t="s">
        <v>39</v>
      </c>
      <c r="L72" s="48" t="s">
        <v>375</v>
      </c>
      <c r="M72" s="48" t="s">
        <v>735</v>
      </c>
      <c r="N72" s="48" t="s">
        <v>563</v>
      </c>
      <c r="O72" s="57" t="str">
        <f aca="false">IFERROR(INDEX(Schedule!$G$5:$G$300,MATCH($B72,Schedule!$A$5:$A$300,0)),"Not Started")</f>
        <v>Not Started</v>
      </c>
      <c r="P72" s="49"/>
      <c r="Q72" s="59" t="n">
        <f aca="false">IF(AND(ISNUMBER(G72),ISNUMBER(H72)),H72-G72+1,"")</f>
        <v>5</v>
      </c>
      <c r="R72" s="61" t="str">
        <f aca="false">IF(AND(ISNUMBER(H72),O72&lt;&gt;"Complete",H72&lt;AsOf),"Overdue","")</f>
        <v/>
      </c>
      <c r="S72" s="59" t="s">
        <v>736</v>
      </c>
    </row>
    <row r="73" customFormat="false" ht="22.35" hidden="false" customHeight="false" outlineLevel="0" collapsed="false">
      <c r="A73" s="48" t="s">
        <v>221</v>
      </c>
      <c r="B73" s="59" t="s">
        <v>219</v>
      </c>
      <c r="C73" s="48" t="s">
        <v>731</v>
      </c>
      <c r="D73" s="48" t="s">
        <v>547</v>
      </c>
      <c r="E73" s="48" t="s">
        <v>737</v>
      </c>
      <c r="F73" s="48" t="s">
        <v>738</v>
      </c>
      <c r="G73" s="60" t="n">
        <v>46339</v>
      </c>
      <c r="H73" s="60" t="n">
        <v>46339</v>
      </c>
      <c r="I73" s="48" t="s">
        <v>22</v>
      </c>
      <c r="J73" s="48" t="s">
        <v>22</v>
      </c>
      <c r="K73" s="48" t="s">
        <v>691</v>
      </c>
      <c r="L73" s="48" t="s">
        <v>212</v>
      </c>
      <c r="M73" s="48" t="s">
        <v>739</v>
      </c>
      <c r="N73" s="48" t="s">
        <v>643</v>
      </c>
      <c r="O73" s="57" t="str">
        <f aca="false">IFERROR(INDEX(Schedule!$G$5:$G$300,MATCH($B73,Schedule!$A$5:$A$300,0)),"Not Started")</f>
        <v>Not Started</v>
      </c>
      <c r="P73" s="49"/>
      <c r="Q73" s="59" t="n">
        <f aca="false">IF(AND(ISNUMBER(G73),ISNUMBER(H73)),H73-G73+1,"")</f>
        <v>1</v>
      </c>
      <c r="R73" s="61" t="str">
        <f aca="false">IF(AND(ISNUMBER(H73),O73&lt;&gt;"Complete",H73&lt;AsOf),"Overdue","")</f>
        <v/>
      </c>
      <c r="S73" s="59" t="s">
        <v>740</v>
      </c>
    </row>
    <row r="74" customFormat="false" ht="22.35" hidden="false" customHeight="false" outlineLevel="0" collapsed="false">
      <c r="A74" s="48" t="s">
        <v>224</v>
      </c>
      <c r="B74" s="59" t="s">
        <v>222</v>
      </c>
      <c r="C74" s="48" t="s">
        <v>731</v>
      </c>
      <c r="D74" s="48" t="s">
        <v>420</v>
      </c>
      <c r="E74" s="48" t="s">
        <v>741</v>
      </c>
      <c r="F74" s="48" t="s">
        <v>381</v>
      </c>
      <c r="G74" s="60" t="n">
        <v>46338</v>
      </c>
      <c r="H74" s="60" t="n">
        <v>46341</v>
      </c>
      <c r="I74" s="48" t="s">
        <v>26</v>
      </c>
      <c r="J74" s="48" t="s">
        <v>22</v>
      </c>
      <c r="K74" s="48" t="s">
        <v>22</v>
      </c>
      <c r="L74" s="48" t="s">
        <v>212</v>
      </c>
      <c r="M74" s="48" t="s">
        <v>742</v>
      </c>
      <c r="N74" s="48" t="s">
        <v>643</v>
      </c>
      <c r="O74" s="57" t="str">
        <f aca="false">IFERROR(INDEX(Schedule!$G$5:$G$300,MATCH($B74,Schedule!$A$5:$A$300,0)),"Not Started")</f>
        <v>Not Started</v>
      </c>
      <c r="P74" s="49" t="s">
        <v>743</v>
      </c>
      <c r="Q74" s="59" t="n">
        <f aca="false">IF(AND(ISNUMBER(G74),ISNUMBER(H74)),H74-G74+1,"")</f>
        <v>4</v>
      </c>
      <c r="R74" s="61" t="str">
        <f aca="false">IF(AND(ISNUMBER(H74),O74&lt;&gt;"Complete",H74&lt;AsOf),"Overdue","")</f>
        <v/>
      </c>
      <c r="S74" s="59" t="s">
        <v>744</v>
      </c>
    </row>
    <row r="75" customFormat="false" ht="22.35" hidden="false" customHeight="false" outlineLevel="0" collapsed="false">
      <c r="A75" s="48" t="s">
        <v>227</v>
      </c>
      <c r="B75" s="59" t="s">
        <v>225</v>
      </c>
      <c r="C75" s="48" t="s">
        <v>731</v>
      </c>
      <c r="D75" s="48" t="s">
        <v>420</v>
      </c>
      <c r="E75" s="48" t="s">
        <v>745</v>
      </c>
      <c r="F75" s="48" t="s">
        <v>381</v>
      </c>
      <c r="G75" s="60" t="n">
        <v>46340</v>
      </c>
      <c r="H75" s="60" t="n">
        <v>46341</v>
      </c>
      <c r="I75" s="48" t="s">
        <v>22</v>
      </c>
      <c r="J75" s="48" t="s">
        <v>22</v>
      </c>
      <c r="K75" s="48" t="s">
        <v>701</v>
      </c>
      <c r="L75" s="48" t="s">
        <v>746</v>
      </c>
      <c r="M75" s="48" t="s">
        <v>601</v>
      </c>
      <c r="N75" s="48" t="s">
        <v>702</v>
      </c>
      <c r="O75" s="57" t="str">
        <f aca="false">IFERROR(INDEX(Schedule!$G$5:$G$300,MATCH($B75,Schedule!$A$5:$A$300,0)),"Not Started")</f>
        <v>Not Started</v>
      </c>
      <c r="P75" s="49"/>
      <c r="Q75" s="59" t="n">
        <f aca="false">IF(AND(ISNUMBER(G75),ISNUMBER(H75)),H75-G75+1,"")</f>
        <v>2</v>
      </c>
      <c r="R75" s="61" t="str">
        <f aca="false">IF(AND(ISNUMBER(H75),O75&lt;&gt;"Complete",H75&lt;AsOf),"Overdue","")</f>
        <v/>
      </c>
      <c r="S75" s="59" t="s">
        <v>747</v>
      </c>
    </row>
    <row r="76" customFormat="false" ht="22.35" hidden="false" customHeight="false" outlineLevel="0" collapsed="false">
      <c r="A76" s="48" t="s">
        <v>230</v>
      </c>
      <c r="B76" s="59" t="s">
        <v>228</v>
      </c>
      <c r="C76" s="48" t="s">
        <v>731</v>
      </c>
      <c r="D76" s="48" t="s">
        <v>547</v>
      </c>
      <c r="E76" s="48" t="s">
        <v>748</v>
      </c>
      <c r="F76" s="48" t="s">
        <v>738</v>
      </c>
      <c r="G76" s="60" t="n">
        <v>46341</v>
      </c>
      <c r="H76" s="60" t="n">
        <v>46341</v>
      </c>
      <c r="I76" s="48" t="s">
        <v>39</v>
      </c>
      <c r="J76" s="48" t="s">
        <v>39</v>
      </c>
      <c r="K76" s="48" t="s">
        <v>665</v>
      </c>
      <c r="L76" s="48" t="s">
        <v>227</v>
      </c>
      <c r="M76" s="48" t="s">
        <v>749</v>
      </c>
      <c r="N76" s="48" t="s">
        <v>445</v>
      </c>
      <c r="O76" s="57" t="str">
        <f aca="false">IFERROR(INDEX(Schedule!$G$5:$G$300,MATCH($B76,Schedule!$A$5:$A$300,0)),"Not Started")</f>
        <v>Not Started</v>
      </c>
      <c r="P76" s="49"/>
      <c r="Q76" s="59" t="n">
        <f aca="false">IF(AND(ISNUMBER(G76),ISNUMBER(H76)),H76-G76+1,"")</f>
        <v>1</v>
      </c>
      <c r="R76" s="61" t="str">
        <f aca="false">IF(AND(ISNUMBER(H76),O76&lt;&gt;"Complete",H76&lt;AsOf),"Overdue","")</f>
        <v/>
      </c>
      <c r="S76" s="59" t="s">
        <v>750</v>
      </c>
    </row>
    <row r="77" customFormat="false" ht="15" hidden="false" customHeight="false" outlineLevel="0" collapsed="false">
      <c r="A77" s="48" t="s">
        <v>233</v>
      </c>
      <c r="B77" s="59" t="s">
        <v>231</v>
      </c>
      <c r="C77" s="48" t="s">
        <v>731</v>
      </c>
      <c r="D77" s="48" t="s">
        <v>565</v>
      </c>
      <c r="E77" s="48" t="s">
        <v>751</v>
      </c>
      <c r="F77" s="48" t="s">
        <v>733</v>
      </c>
      <c r="G77" s="60" t="n">
        <v>46342</v>
      </c>
      <c r="H77" s="60" t="n">
        <v>46360</v>
      </c>
      <c r="I77" s="48" t="s">
        <v>734</v>
      </c>
      <c r="J77" s="48" t="s">
        <v>567</v>
      </c>
      <c r="K77" s="48" t="s">
        <v>39</v>
      </c>
      <c r="L77" s="48" t="s">
        <v>230</v>
      </c>
      <c r="M77" s="48" t="s">
        <v>752</v>
      </c>
      <c r="N77" s="48" t="s">
        <v>563</v>
      </c>
      <c r="O77" s="57" t="str">
        <f aca="false">IFERROR(INDEX(Schedule!$G$5:$G$300,MATCH($B77,Schedule!$A$5:$A$300,0)),"Not Started")</f>
        <v>Not Started</v>
      </c>
      <c r="P77" s="49"/>
      <c r="Q77" s="59" t="n">
        <f aca="false">IF(AND(ISNUMBER(G77),ISNUMBER(H77)),H77-G77+1,"")</f>
        <v>19</v>
      </c>
      <c r="R77" s="61" t="str">
        <f aca="false">IF(AND(ISNUMBER(H77),O77&lt;&gt;"Complete",H77&lt;AsOf),"Overdue","")</f>
        <v/>
      </c>
      <c r="S77" s="59" t="s">
        <v>753</v>
      </c>
    </row>
    <row r="78" customFormat="false" ht="22.35" hidden="false" customHeight="false" outlineLevel="0" collapsed="false">
      <c r="A78" s="48" t="s">
        <v>236</v>
      </c>
      <c r="B78" s="59" t="s">
        <v>234</v>
      </c>
      <c r="C78" s="48" t="s">
        <v>731</v>
      </c>
      <c r="D78" s="48" t="s">
        <v>565</v>
      </c>
      <c r="E78" s="48" t="s">
        <v>754</v>
      </c>
      <c r="F78" s="48" t="s">
        <v>733</v>
      </c>
      <c r="G78" s="60" t="n">
        <v>46342</v>
      </c>
      <c r="H78" s="60" t="n">
        <v>46344</v>
      </c>
      <c r="I78" s="48" t="s">
        <v>567</v>
      </c>
      <c r="J78" s="48" t="s">
        <v>567</v>
      </c>
      <c r="K78" s="48" t="s">
        <v>550</v>
      </c>
      <c r="L78" s="48" t="s">
        <v>230</v>
      </c>
      <c r="M78" s="48" t="s">
        <v>755</v>
      </c>
      <c r="N78" s="48" t="s">
        <v>563</v>
      </c>
      <c r="O78" s="57" t="str">
        <f aca="false">IFERROR(INDEX(Schedule!$G$5:$G$300,MATCH($B78,Schedule!$A$5:$A$300,0)),"Not Started")</f>
        <v>Not Started</v>
      </c>
      <c r="P78" s="49"/>
      <c r="Q78" s="59" t="n">
        <f aca="false">IF(AND(ISNUMBER(G78),ISNUMBER(H78)),H78-G78+1,"")</f>
        <v>3</v>
      </c>
      <c r="R78" s="61" t="str">
        <f aca="false">IF(AND(ISNUMBER(H78),O78&lt;&gt;"Complete",H78&lt;AsOf),"Overdue","")</f>
        <v/>
      </c>
      <c r="S78" s="59" t="s">
        <v>736</v>
      </c>
    </row>
    <row r="79" customFormat="false" ht="22.35" hidden="false" customHeight="false" outlineLevel="0" collapsed="false">
      <c r="A79" s="62" t="s">
        <v>240</v>
      </c>
      <c r="B79" s="63" t="s">
        <v>237</v>
      </c>
      <c r="C79" s="64" t="s">
        <v>731</v>
      </c>
      <c r="D79" s="64" t="s">
        <v>440</v>
      </c>
      <c r="E79" s="62" t="s">
        <v>756</v>
      </c>
      <c r="F79" s="64" t="s">
        <v>375</v>
      </c>
      <c r="G79" s="65" t="n">
        <v>46345</v>
      </c>
      <c r="H79" s="65" t="n">
        <v>46345</v>
      </c>
      <c r="I79" s="64" t="s">
        <v>56</v>
      </c>
      <c r="J79" s="64" t="s">
        <v>56</v>
      </c>
      <c r="K79" s="64" t="s">
        <v>757</v>
      </c>
      <c r="L79" s="64" t="s">
        <v>758</v>
      </c>
      <c r="M79" s="64" t="s">
        <v>759</v>
      </c>
      <c r="N79" s="64" t="s">
        <v>445</v>
      </c>
      <c r="O79" s="57" t="str">
        <f aca="false">IFERROR(INDEX(Schedule!$G$5:$G$300,MATCH($B79,Schedule!$A$5:$A$300,0)),"Not Started")</f>
        <v>Not Started</v>
      </c>
      <c r="P79" s="49"/>
      <c r="Q79" s="59" t="n">
        <f aca="false">IF(AND(ISNUMBER(G79),ISNUMBER(H79)),H79-G79+1,"")</f>
        <v>1</v>
      </c>
      <c r="R79" s="61" t="str">
        <f aca="false">IF(AND(ISNUMBER(H79),O79&lt;&gt;"Complete",H79&lt;AsOf),"Overdue","")</f>
        <v/>
      </c>
      <c r="S79" s="59" t="s">
        <v>240</v>
      </c>
    </row>
    <row r="80" customFormat="false" ht="22.35" hidden="false" customHeight="false" outlineLevel="0" collapsed="false">
      <c r="A80" s="48" t="s">
        <v>245</v>
      </c>
      <c r="B80" s="59" t="s">
        <v>243</v>
      </c>
      <c r="C80" s="48" t="s">
        <v>760</v>
      </c>
      <c r="D80" s="48" t="s">
        <v>420</v>
      </c>
      <c r="E80" s="48" t="s">
        <v>761</v>
      </c>
      <c r="F80" s="48" t="s">
        <v>386</v>
      </c>
      <c r="G80" s="60" t="n">
        <v>46340</v>
      </c>
      <c r="H80" s="60" t="n">
        <v>46348</v>
      </c>
      <c r="I80" s="48" t="s">
        <v>22</v>
      </c>
      <c r="J80" s="48" t="s">
        <v>22</v>
      </c>
      <c r="K80" s="48" t="s">
        <v>56</v>
      </c>
      <c r="L80" s="48" t="s">
        <v>746</v>
      </c>
      <c r="M80" s="48" t="s">
        <v>762</v>
      </c>
      <c r="N80" s="48" t="s">
        <v>514</v>
      </c>
      <c r="O80" s="57" t="str">
        <f aca="false">IFERROR(INDEX(Schedule!$G$5:$G$300,MATCH($B80,Schedule!$A$5:$A$300,0)),"Not Started")</f>
        <v>Not Started</v>
      </c>
      <c r="P80" s="49"/>
      <c r="Q80" s="59" t="n">
        <f aca="false">IF(AND(ISNUMBER(G80),ISNUMBER(H80)),H80-G80+1,"")</f>
        <v>9</v>
      </c>
      <c r="R80" s="61" t="str">
        <f aca="false">IF(AND(ISNUMBER(H80),O80&lt;&gt;"Complete",H80&lt;AsOf),"Overdue","")</f>
        <v/>
      </c>
      <c r="S80" s="59" t="s">
        <v>763</v>
      </c>
    </row>
    <row r="81" customFormat="false" ht="22.35" hidden="false" customHeight="false" outlineLevel="0" collapsed="false">
      <c r="A81" s="48" t="s">
        <v>248</v>
      </c>
      <c r="B81" s="59" t="s">
        <v>246</v>
      </c>
      <c r="C81" s="48" t="s">
        <v>760</v>
      </c>
      <c r="D81" s="48" t="s">
        <v>420</v>
      </c>
      <c r="E81" s="48" t="s">
        <v>764</v>
      </c>
      <c r="F81" s="48" t="s">
        <v>386</v>
      </c>
      <c r="G81" s="60" t="n">
        <v>46345</v>
      </c>
      <c r="H81" s="60" t="n">
        <v>46348</v>
      </c>
      <c r="I81" s="48" t="s">
        <v>26</v>
      </c>
      <c r="J81" s="48" t="s">
        <v>22</v>
      </c>
      <c r="K81" s="48" t="s">
        <v>550</v>
      </c>
      <c r="L81" s="48" t="s">
        <v>240</v>
      </c>
      <c r="M81" s="48" t="s">
        <v>765</v>
      </c>
      <c r="N81" s="48" t="s">
        <v>643</v>
      </c>
      <c r="O81" s="57" t="str">
        <f aca="false">IFERROR(INDEX(Schedule!$G$5:$G$300,MATCH($B81,Schedule!$A$5:$A$300,0)),"Not Started")</f>
        <v>Not Started</v>
      </c>
      <c r="P81" s="49" t="s">
        <v>766</v>
      </c>
      <c r="Q81" s="59" t="n">
        <f aca="false">IF(AND(ISNUMBER(G81),ISNUMBER(H81)),H81-G81+1,"")</f>
        <v>4</v>
      </c>
      <c r="R81" s="61" t="str">
        <f aca="false">IF(AND(ISNUMBER(H81),O81&lt;&gt;"Complete",H81&lt;AsOf),"Overdue","")</f>
        <v/>
      </c>
      <c r="S81" s="59" t="s">
        <v>767</v>
      </c>
    </row>
    <row r="82" customFormat="false" ht="22.35" hidden="false" customHeight="false" outlineLevel="0" collapsed="false">
      <c r="A82" s="48" t="s">
        <v>251</v>
      </c>
      <c r="B82" s="59" t="s">
        <v>249</v>
      </c>
      <c r="C82" s="48" t="s">
        <v>760</v>
      </c>
      <c r="D82" s="48" t="s">
        <v>420</v>
      </c>
      <c r="E82" s="48" t="s">
        <v>768</v>
      </c>
      <c r="F82" s="48" t="s">
        <v>386</v>
      </c>
      <c r="G82" s="60" t="n">
        <v>46347</v>
      </c>
      <c r="H82" s="60" t="n">
        <v>46349</v>
      </c>
      <c r="I82" s="48" t="s">
        <v>22</v>
      </c>
      <c r="J82" s="48" t="s">
        <v>22</v>
      </c>
      <c r="K82" s="48" t="s">
        <v>528</v>
      </c>
      <c r="L82" s="48" t="s">
        <v>769</v>
      </c>
      <c r="M82" s="48" t="s">
        <v>770</v>
      </c>
      <c r="N82" s="48" t="s">
        <v>702</v>
      </c>
      <c r="O82" s="57" t="str">
        <f aca="false">IFERROR(INDEX(Schedule!$G$5:$G$300,MATCH($B82,Schedule!$A$5:$A$300,0)),"Not Started")</f>
        <v>Not Started</v>
      </c>
      <c r="P82" s="49"/>
      <c r="Q82" s="59" t="n">
        <f aca="false">IF(AND(ISNUMBER(G82),ISNUMBER(H82)),H82-G82+1,"")</f>
        <v>3</v>
      </c>
      <c r="R82" s="61" t="str">
        <f aca="false">IF(AND(ISNUMBER(H82),O82&lt;&gt;"Complete",H82&lt;AsOf),"Overdue","")</f>
        <v/>
      </c>
      <c r="S82" s="59" t="s">
        <v>771</v>
      </c>
    </row>
    <row r="83" customFormat="false" ht="22.35" hidden="false" customHeight="false" outlineLevel="0" collapsed="false">
      <c r="A83" s="48" t="s">
        <v>254</v>
      </c>
      <c r="B83" s="59" t="s">
        <v>252</v>
      </c>
      <c r="C83" s="48" t="s">
        <v>760</v>
      </c>
      <c r="D83" s="48" t="s">
        <v>547</v>
      </c>
      <c r="E83" s="48" t="s">
        <v>772</v>
      </c>
      <c r="F83" s="48" t="s">
        <v>386</v>
      </c>
      <c r="G83" s="60" t="n">
        <v>46349</v>
      </c>
      <c r="H83" s="60" t="n">
        <v>46349</v>
      </c>
      <c r="I83" s="48" t="s">
        <v>22</v>
      </c>
      <c r="J83" s="48" t="s">
        <v>22</v>
      </c>
      <c r="K83" s="48" t="s">
        <v>773</v>
      </c>
      <c r="L83" s="48" t="s">
        <v>251</v>
      </c>
      <c r="M83" s="48" t="s">
        <v>774</v>
      </c>
      <c r="N83" s="48" t="s">
        <v>563</v>
      </c>
      <c r="O83" s="57" t="str">
        <f aca="false">IFERROR(INDEX(Schedule!$G$5:$G$300,MATCH($B83,Schedule!$A$5:$A$300,0)),"Not Started")</f>
        <v>Not Started</v>
      </c>
      <c r="P83" s="49"/>
      <c r="Q83" s="59" t="n">
        <f aca="false">IF(AND(ISNUMBER(G83),ISNUMBER(H83)),H83-G83+1,"")</f>
        <v>1</v>
      </c>
      <c r="R83" s="61" t="str">
        <f aca="false">IF(AND(ISNUMBER(H83),O83&lt;&gt;"Complete",H83&lt;AsOf),"Overdue","")</f>
        <v/>
      </c>
      <c r="S83" s="59" t="s">
        <v>775</v>
      </c>
    </row>
    <row r="84" customFormat="false" ht="22.35" hidden="false" customHeight="false" outlineLevel="0" collapsed="false">
      <c r="A84" s="62" t="s">
        <v>258</v>
      </c>
      <c r="B84" s="63" t="s">
        <v>255</v>
      </c>
      <c r="C84" s="64" t="s">
        <v>760</v>
      </c>
      <c r="D84" s="64" t="s">
        <v>440</v>
      </c>
      <c r="E84" s="62" t="s">
        <v>776</v>
      </c>
      <c r="F84" s="64" t="s">
        <v>375</v>
      </c>
      <c r="G84" s="65" t="n">
        <v>46351</v>
      </c>
      <c r="H84" s="65" t="n">
        <v>46351</v>
      </c>
      <c r="I84" s="64" t="s">
        <v>56</v>
      </c>
      <c r="J84" s="64" t="s">
        <v>56</v>
      </c>
      <c r="K84" s="64" t="s">
        <v>757</v>
      </c>
      <c r="L84" s="64" t="s">
        <v>777</v>
      </c>
      <c r="M84" s="64" t="s">
        <v>389</v>
      </c>
      <c r="N84" s="64" t="s">
        <v>563</v>
      </c>
      <c r="O84" s="57" t="str">
        <f aca="false">IFERROR(INDEX(Schedule!$G$5:$G$300,MATCH($B84,Schedule!$A$5:$A$300,0)),"Not Started")</f>
        <v>Not Started</v>
      </c>
      <c r="P84" s="49" t="s">
        <v>778</v>
      </c>
      <c r="Q84" s="59" t="n">
        <f aca="false">IF(AND(ISNUMBER(G84),ISNUMBER(H84)),H84-G84+1,"")</f>
        <v>1</v>
      </c>
      <c r="R84" s="61" t="str">
        <f aca="false">IF(AND(ISNUMBER(H84),O84&lt;&gt;"Complete",H84&lt;AsOf),"Overdue","")</f>
        <v/>
      </c>
      <c r="S84" s="59" t="s">
        <v>258</v>
      </c>
    </row>
    <row r="85" customFormat="false" ht="22.35" hidden="false" customHeight="false" outlineLevel="0" collapsed="false">
      <c r="A85" s="48" t="s">
        <v>263</v>
      </c>
      <c r="B85" s="59" t="s">
        <v>261</v>
      </c>
      <c r="C85" s="48" t="s">
        <v>779</v>
      </c>
      <c r="D85" s="48" t="s">
        <v>420</v>
      </c>
      <c r="E85" s="48" t="s">
        <v>780</v>
      </c>
      <c r="F85" s="48" t="s">
        <v>635</v>
      </c>
      <c r="G85" s="60" t="n">
        <v>46357</v>
      </c>
      <c r="H85" s="60" t="n">
        <v>46357</v>
      </c>
      <c r="I85" s="48" t="s">
        <v>26</v>
      </c>
      <c r="J85" s="48" t="s">
        <v>22</v>
      </c>
      <c r="K85" s="48" t="s">
        <v>22</v>
      </c>
      <c r="L85" s="48" t="s">
        <v>240</v>
      </c>
      <c r="M85" s="48" t="s">
        <v>781</v>
      </c>
      <c r="N85" s="48" t="s">
        <v>445</v>
      </c>
      <c r="O85" s="57" t="str">
        <f aca="false">IFERROR(INDEX(Schedule!$G$5:$G$300,MATCH($B85,Schedule!$A$5:$A$300,0)),"Not Started")</f>
        <v>Not Started</v>
      </c>
      <c r="P85" s="49" t="s">
        <v>782</v>
      </c>
      <c r="Q85" s="59" t="n">
        <f aca="false">IF(AND(ISNUMBER(G85),ISNUMBER(H85)),H85-G85+1,"")</f>
        <v>1</v>
      </c>
      <c r="R85" s="61" t="str">
        <f aca="false">IF(AND(ISNUMBER(H85),O85&lt;&gt;"Complete",H85&lt;AsOf),"Overdue","")</f>
        <v/>
      </c>
      <c r="S85" s="59" t="s">
        <v>783</v>
      </c>
    </row>
    <row r="86" customFormat="false" ht="22.35" hidden="false" customHeight="false" outlineLevel="0" collapsed="false">
      <c r="A86" s="48" t="s">
        <v>266</v>
      </c>
      <c r="B86" s="59" t="s">
        <v>264</v>
      </c>
      <c r="C86" s="48" t="s">
        <v>779</v>
      </c>
      <c r="D86" s="48" t="s">
        <v>420</v>
      </c>
      <c r="E86" s="48" t="s">
        <v>784</v>
      </c>
      <c r="F86" s="48" t="s">
        <v>683</v>
      </c>
      <c r="G86" s="60" t="n">
        <v>46359</v>
      </c>
      <c r="H86" s="60" t="n">
        <v>46359</v>
      </c>
      <c r="I86" s="48" t="s">
        <v>26</v>
      </c>
      <c r="J86" s="48" t="s">
        <v>22</v>
      </c>
      <c r="K86" s="48" t="s">
        <v>22</v>
      </c>
      <c r="L86" s="48" t="s">
        <v>263</v>
      </c>
      <c r="M86" s="48" t="s">
        <v>785</v>
      </c>
      <c r="N86" s="48" t="s">
        <v>445</v>
      </c>
      <c r="O86" s="57" t="str">
        <f aca="false">IFERROR(INDEX(Schedule!$G$5:$G$300,MATCH($B86,Schedule!$A$5:$A$300,0)),"Not Started")</f>
        <v>Not Started</v>
      </c>
      <c r="P86" s="49"/>
      <c r="Q86" s="59" t="n">
        <f aca="false">IF(AND(ISNUMBER(G86),ISNUMBER(H86)),H86-G86+1,"")</f>
        <v>1</v>
      </c>
      <c r="R86" s="61" t="str">
        <f aca="false">IF(AND(ISNUMBER(H86),O86&lt;&gt;"Complete",H86&lt;AsOf),"Overdue","")</f>
        <v/>
      </c>
      <c r="S86" s="59" t="s">
        <v>783</v>
      </c>
    </row>
    <row r="87" customFormat="false" ht="22.35" hidden="false" customHeight="false" outlineLevel="0" collapsed="false">
      <c r="A87" s="48" t="s">
        <v>269</v>
      </c>
      <c r="B87" s="59" t="s">
        <v>267</v>
      </c>
      <c r="C87" s="48" t="s">
        <v>779</v>
      </c>
      <c r="D87" s="48" t="s">
        <v>420</v>
      </c>
      <c r="E87" s="48" t="s">
        <v>786</v>
      </c>
      <c r="F87" s="48" t="s">
        <v>787</v>
      </c>
      <c r="G87" s="60" t="n">
        <v>46357</v>
      </c>
      <c r="H87" s="60" t="n">
        <v>46360</v>
      </c>
      <c r="I87" s="48" t="s">
        <v>22</v>
      </c>
      <c r="J87" s="48" t="s">
        <v>22</v>
      </c>
      <c r="K87" s="48" t="s">
        <v>455</v>
      </c>
      <c r="L87" s="48" t="s">
        <v>263</v>
      </c>
      <c r="M87" s="48" t="s">
        <v>788</v>
      </c>
      <c r="N87" s="48" t="s">
        <v>514</v>
      </c>
      <c r="O87" s="57" t="str">
        <f aca="false">IFERROR(INDEX(Schedule!$G$5:$G$300,MATCH($B87,Schedule!$A$5:$A$300,0)),"Not Started")</f>
        <v>Not Started</v>
      </c>
      <c r="P87" s="49" t="s">
        <v>789</v>
      </c>
      <c r="Q87" s="59" t="n">
        <f aca="false">IF(AND(ISNUMBER(G87),ISNUMBER(H87)),H87-G87+1,"")</f>
        <v>4</v>
      </c>
      <c r="R87" s="61" t="str">
        <f aca="false">IF(AND(ISNUMBER(H87),O87&lt;&gt;"Complete",H87&lt;AsOf),"Overdue","")</f>
        <v/>
      </c>
      <c r="S87" s="59" t="s">
        <v>790</v>
      </c>
    </row>
    <row r="88" customFormat="false" ht="22.35" hidden="false" customHeight="false" outlineLevel="0" collapsed="false">
      <c r="A88" s="48" t="s">
        <v>280</v>
      </c>
      <c r="B88" s="59" t="s">
        <v>278</v>
      </c>
      <c r="C88" s="48" t="s">
        <v>791</v>
      </c>
      <c r="D88" s="48" t="s">
        <v>433</v>
      </c>
      <c r="E88" s="48" t="s">
        <v>792</v>
      </c>
      <c r="F88" s="48" t="s">
        <v>435</v>
      </c>
      <c r="G88" s="60" t="n">
        <v>46349</v>
      </c>
      <c r="H88" s="60" t="n">
        <v>46388</v>
      </c>
      <c r="I88" s="48" t="s">
        <v>436</v>
      </c>
      <c r="J88" s="48" t="s">
        <v>22</v>
      </c>
      <c r="K88" s="48" t="s">
        <v>491</v>
      </c>
      <c r="L88" s="48" t="s">
        <v>251</v>
      </c>
      <c r="M88" s="48" t="s">
        <v>793</v>
      </c>
      <c r="N88" s="48" t="s">
        <v>438</v>
      </c>
      <c r="O88" s="57" t="str">
        <f aca="false">IFERROR(INDEX(Schedule!$G$5:$G$300,MATCH($B88,Schedule!$A$5:$A$300,0)),"Not Started")</f>
        <v>Not Started</v>
      </c>
      <c r="P88" s="49"/>
      <c r="Q88" s="59" t="n">
        <f aca="false">IF(AND(ISNUMBER(G88),ISNUMBER(H88)),H88-G88+1,"")</f>
        <v>40</v>
      </c>
      <c r="R88" s="61" t="str">
        <f aca="false">IF(AND(ISNUMBER(H88),O88&lt;&gt;"Complete",H88&lt;AsOf),"Overdue","")</f>
        <v/>
      </c>
      <c r="S88" s="59" t="s">
        <v>794</v>
      </c>
    </row>
    <row r="89" customFormat="false" ht="22.35" hidden="false" customHeight="false" outlineLevel="0" collapsed="false">
      <c r="A89" s="48" t="s">
        <v>283</v>
      </c>
      <c r="B89" s="59" t="s">
        <v>281</v>
      </c>
      <c r="C89" s="48" t="s">
        <v>791</v>
      </c>
      <c r="D89" s="48" t="s">
        <v>565</v>
      </c>
      <c r="E89" s="48" t="s">
        <v>795</v>
      </c>
      <c r="F89" s="48" t="s">
        <v>386</v>
      </c>
      <c r="G89" s="60" t="n">
        <v>46363</v>
      </c>
      <c r="H89" s="60" t="n">
        <v>46387</v>
      </c>
      <c r="I89" s="48" t="s">
        <v>56</v>
      </c>
      <c r="J89" s="48" t="s">
        <v>56</v>
      </c>
      <c r="K89" s="48" t="s">
        <v>796</v>
      </c>
      <c r="L89" s="48" t="s">
        <v>258</v>
      </c>
      <c r="M89" s="48" t="s">
        <v>797</v>
      </c>
      <c r="N89" s="48" t="s">
        <v>563</v>
      </c>
      <c r="O89" s="57" t="str">
        <f aca="false">IFERROR(INDEX(Schedule!$G$5:$G$300,MATCH($B89,Schedule!$A$5:$A$300,0)),"Not Started")</f>
        <v>Not Started</v>
      </c>
      <c r="P89" s="49"/>
      <c r="Q89" s="59" t="n">
        <f aca="false">IF(AND(ISNUMBER(G89),ISNUMBER(H89)),H89-G89+1,"")</f>
        <v>25</v>
      </c>
      <c r="R89" s="61" t="str">
        <f aca="false">IF(AND(ISNUMBER(H89),O89&lt;&gt;"Complete",H89&lt;AsOf),"Overdue","")</f>
        <v/>
      </c>
      <c r="S89" s="59" t="s">
        <v>375</v>
      </c>
    </row>
    <row r="90" customFormat="false" ht="22.35" hidden="false" customHeight="false" outlineLevel="0" collapsed="false">
      <c r="A90" s="48" t="s">
        <v>274</v>
      </c>
      <c r="B90" s="59" t="s">
        <v>272</v>
      </c>
      <c r="C90" s="48" t="s">
        <v>791</v>
      </c>
      <c r="D90" s="48" t="s">
        <v>420</v>
      </c>
      <c r="E90" s="48" t="s">
        <v>798</v>
      </c>
      <c r="F90" s="48" t="s">
        <v>435</v>
      </c>
      <c r="G90" s="60" t="n">
        <v>46349</v>
      </c>
      <c r="H90" s="60" t="n">
        <v>46360</v>
      </c>
      <c r="I90" s="48" t="s">
        <v>22</v>
      </c>
      <c r="J90" s="48" t="s">
        <v>22</v>
      </c>
      <c r="K90" s="48" t="s">
        <v>26</v>
      </c>
      <c r="L90" s="48" t="s">
        <v>248</v>
      </c>
      <c r="M90" s="48" t="s">
        <v>799</v>
      </c>
      <c r="N90" s="48" t="s">
        <v>530</v>
      </c>
      <c r="O90" s="57" t="str">
        <f aca="false">IFERROR(INDEX(Schedule!$G$5:$G$300,MATCH($B90,Schedule!$A$5:$A$300,0)),"Not Started")</f>
        <v>Not Started</v>
      </c>
      <c r="P90" s="49" t="s">
        <v>800</v>
      </c>
      <c r="Q90" s="59" t="n">
        <f aca="false">IF(AND(ISNUMBER(G90),ISNUMBER(H90)),H90-G90+1,"")</f>
        <v>12</v>
      </c>
      <c r="R90" s="61" t="str">
        <f aca="false">IF(AND(ISNUMBER(H90),O90&lt;&gt;"Complete",H90&lt;AsOf),"Overdue","")</f>
        <v/>
      </c>
      <c r="S90" s="59" t="s">
        <v>801</v>
      </c>
    </row>
    <row r="91" customFormat="false" ht="22.35" hidden="false" customHeight="false" outlineLevel="0" collapsed="false">
      <c r="A91" s="48" t="s">
        <v>277</v>
      </c>
      <c r="B91" s="59" t="s">
        <v>275</v>
      </c>
      <c r="C91" s="48" t="s">
        <v>791</v>
      </c>
      <c r="D91" s="48" t="s">
        <v>440</v>
      </c>
      <c r="E91" s="48" t="s">
        <v>802</v>
      </c>
      <c r="F91" s="48" t="s">
        <v>375</v>
      </c>
      <c r="G91" s="60" t="n">
        <v>46356</v>
      </c>
      <c r="H91" s="60" t="n">
        <v>46360</v>
      </c>
      <c r="I91" s="48" t="s">
        <v>22</v>
      </c>
      <c r="J91" s="48" t="s">
        <v>56</v>
      </c>
      <c r="K91" s="48" t="s">
        <v>803</v>
      </c>
      <c r="L91" s="48" t="s">
        <v>258</v>
      </c>
      <c r="M91" s="48" t="s">
        <v>804</v>
      </c>
      <c r="N91" s="48" t="s">
        <v>445</v>
      </c>
      <c r="O91" s="57" t="str">
        <f aca="false">IFERROR(INDEX(Schedule!$G$5:$G$300,MATCH($B91,Schedule!$A$5:$A$300,0)),"Not Started")</f>
        <v>Not Started</v>
      </c>
      <c r="P91" s="49"/>
      <c r="Q91" s="59" t="n">
        <f aca="false">IF(AND(ISNUMBER(G91),ISNUMBER(H91)),H91-G91+1,"")</f>
        <v>5</v>
      </c>
      <c r="R91" s="61" t="str">
        <f aca="false">IF(AND(ISNUMBER(H91),O91&lt;&gt;"Complete",H91&lt;AsOf),"Overdue","")</f>
        <v/>
      </c>
      <c r="S91" s="59" t="s">
        <v>375</v>
      </c>
    </row>
    <row r="92" customFormat="false" ht="22.35" hidden="false" customHeight="false" outlineLevel="0" collapsed="false">
      <c r="A92" s="48" t="s">
        <v>286</v>
      </c>
      <c r="B92" s="59" t="s">
        <v>284</v>
      </c>
      <c r="C92" s="48" t="s">
        <v>791</v>
      </c>
      <c r="D92" s="48" t="s">
        <v>420</v>
      </c>
      <c r="E92" s="48" t="s">
        <v>805</v>
      </c>
      <c r="F92" s="48" t="s">
        <v>386</v>
      </c>
      <c r="G92" s="60" t="n">
        <v>46388</v>
      </c>
      <c r="H92" s="60" t="n">
        <v>46388</v>
      </c>
      <c r="I92" s="48" t="s">
        <v>22</v>
      </c>
      <c r="J92" s="48" t="s">
        <v>22</v>
      </c>
      <c r="K92" s="48" t="s">
        <v>39</v>
      </c>
      <c r="L92" s="48" t="s">
        <v>375</v>
      </c>
      <c r="M92" s="48" t="s">
        <v>534</v>
      </c>
      <c r="N92" s="48" t="s">
        <v>806</v>
      </c>
      <c r="O92" s="57" t="str">
        <f aca="false">IFERROR(INDEX(Schedule!$G$5:$G$300,MATCH($B92,Schedule!$A$5:$A$300,0)),"Not Started")</f>
        <v>Not Started</v>
      </c>
      <c r="P92" s="49" t="s">
        <v>807</v>
      </c>
      <c r="Q92" s="59" t="n">
        <f aca="false">IF(AND(ISNUMBER(G92),ISNUMBER(H92)),H92-G92+1,"")</f>
        <v>1</v>
      </c>
      <c r="R92" s="61" t="str">
        <f aca="false">IF(AND(ISNUMBER(H92),O92&lt;&gt;"Complete",H92&lt;AsOf),"Overdue","")</f>
        <v/>
      </c>
      <c r="S92" s="59" t="s">
        <v>375</v>
      </c>
    </row>
  </sheetData>
  <autoFilter ref="A4:S92"/>
  <conditionalFormatting sqref="O5:O292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8" min="7" style="0" width="22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36"/>
    <col collapsed="false" customWidth="true" hidden="false" outlineLevel="0" max="14" min="13" style="0" width="14"/>
  </cols>
  <sheetData>
    <row r="1" customFormat="false" ht="24" hidden="false" customHeight="true" outlineLevel="0" collapsed="false">
      <c r="A1" s="1" t="s">
        <v>808</v>
      </c>
    </row>
    <row r="2" customFormat="false" ht="15" hidden="false" customHeight="false" outlineLevel="0" collapsed="false">
      <c r="A2" s="38" t="s">
        <v>809</v>
      </c>
    </row>
    <row r="4" customFormat="false" ht="30" hidden="false" customHeight="true" outlineLevel="0" collapsed="false">
      <c r="A4" s="47" t="s">
        <v>810</v>
      </c>
      <c r="B4" s="47" t="s">
        <v>811</v>
      </c>
      <c r="C4" s="47" t="s">
        <v>812</v>
      </c>
      <c r="D4" s="47" t="s">
        <v>813</v>
      </c>
      <c r="E4" s="47" t="s">
        <v>814</v>
      </c>
      <c r="F4" s="47" t="s">
        <v>815</v>
      </c>
      <c r="G4" s="47" t="s">
        <v>816</v>
      </c>
      <c r="H4" s="47" t="s">
        <v>817</v>
      </c>
      <c r="I4" s="47" t="s">
        <v>818</v>
      </c>
      <c r="J4" s="47" t="s">
        <v>819</v>
      </c>
      <c r="K4" s="47" t="s">
        <v>7</v>
      </c>
      <c r="L4" s="47" t="s">
        <v>416</v>
      </c>
      <c r="M4" s="47" t="s">
        <v>820</v>
      </c>
      <c r="N4" s="47" t="s">
        <v>821</v>
      </c>
    </row>
    <row r="5" customFormat="false" ht="22.35" hidden="false" customHeight="false" outlineLevel="0" collapsed="false">
      <c r="A5" s="48" t="s">
        <v>361</v>
      </c>
      <c r="B5" s="48" t="s">
        <v>822</v>
      </c>
      <c r="C5" s="48" t="s">
        <v>823</v>
      </c>
      <c r="D5" s="48" t="s">
        <v>824</v>
      </c>
      <c r="E5" s="49" t="s">
        <v>825</v>
      </c>
      <c r="F5" s="48" t="s">
        <v>826</v>
      </c>
      <c r="G5" s="48" t="s">
        <v>827</v>
      </c>
      <c r="H5" s="48" t="s">
        <v>828</v>
      </c>
      <c r="I5" s="49" t="s">
        <v>829</v>
      </c>
      <c r="J5" s="48" t="s">
        <v>830</v>
      </c>
      <c r="K5" s="58" t="s">
        <v>40</v>
      </c>
      <c r="L5" s="49" t="s">
        <v>831</v>
      </c>
      <c r="M5" s="52" t="n">
        <v>46316</v>
      </c>
      <c r="N5" s="52" t="n">
        <v>46319</v>
      </c>
    </row>
    <row r="6" customFormat="false" ht="15" hidden="false" customHeight="false" outlineLevel="0" collapsed="false">
      <c r="A6" s="48" t="s">
        <v>367</v>
      </c>
      <c r="B6" s="48" t="s">
        <v>832</v>
      </c>
      <c r="C6" s="48" t="s">
        <v>833</v>
      </c>
      <c r="D6" s="48" t="s">
        <v>834</v>
      </c>
      <c r="E6" s="49" t="s">
        <v>825</v>
      </c>
      <c r="F6" s="48" t="s">
        <v>826</v>
      </c>
      <c r="G6" s="48" t="s">
        <v>375</v>
      </c>
      <c r="H6" s="48" t="s">
        <v>835</v>
      </c>
      <c r="I6" s="49" t="s">
        <v>824</v>
      </c>
      <c r="J6" s="48" t="s">
        <v>836</v>
      </c>
      <c r="K6" s="58" t="s">
        <v>57</v>
      </c>
      <c r="L6" s="49" t="s">
        <v>837</v>
      </c>
      <c r="M6" s="49"/>
      <c r="N6" s="52" t="n">
        <v>46326</v>
      </c>
    </row>
    <row r="7" customFormat="false" ht="15" hidden="false" customHeight="false" outlineLevel="0" collapsed="false">
      <c r="A7" s="48" t="s">
        <v>635</v>
      </c>
      <c r="B7" s="48" t="s">
        <v>838</v>
      </c>
      <c r="C7" s="48" t="s">
        <v>839</v>
      </c>
      <c r="D7" s="48" t="s">
        <v>824</v>
      </c>
      <c r="E7" s="49" t="s">
        <v>825</v>
      </c>
      <c r="F7" s="48" t="s">
        <v>840</v>
      </c>
      <c r="G7" s="48" t="s">
        <v>841</v>
      </c>
      <c r="H7" s="48" t="s">
        <v>842</v>
      </c>
      <c r="I7" s="49" t="s">
        <v>824</v>
      </c>
      <c r="J7" s="48" t="s">
        <v>843</v>
      </c>
      <c r="K7" s="58" t="s">
        <v>57</v>
      </c>
      <c r="L7" s="49" t="s">
        <v>844</v>
      </c>
      <c r="M7" s="52" t="n">
        <v>46322</v>
      </c>
      <c r="N7" s="52" t="n">
        <v>46357</v>
      </c>
    </row>
    <row r="8" customFormat="false" ht="15" hidden="false" customHeight="false" outlineLevel="0" collapsed="false">
      <c r="A8" s="48" t="s">
        <v>376</v>
      </c>
      <c r="B8" s="48" t="s">
        <v>845</v>
      </c>
      <c r="C8" s="48" t="s">
        <v>833</v>
      </c>
      <c r="D8" s="48" t="s">
        <v>846</v>
      </c>
      <c r="E8" s="49" t="s">
        <v>825</v>
      </c>
      <c r="F8" s="48" t="s">
        <v>826</v>
      </c>
      <c r="G8" s="48" t="s">
        <v>375</v>
      </c>
      <c r="H8" s="48" t="s">
        <v>847</v>
      </c>
      <c r="I8" s="49" t="s">
        <v>824</v>
      </c>
      <c r="J8" s="48" t="s">
        <v>848</v>
      </c>
      <c r="K8" s="58" t="s">
        <v>57</v>
      </c>
      <c r="L8" s="49" t="s">
        <v>849</v>
      </c>
      <c r="M8" s="49"/>
      <c r="N8" s="52" t="n">
        <v>46333</v>
      </c>
    </row>
    <row r="9" customFormat="false" ht="15" hidden="false" customHeight="false" outlineLevel="0" collapsed="false">
      <c r="A9" s="48" t="s">
        <v>683</v>
      </c>
      <c r="B9" s="48" t="s">
        <v>850</v>
      </c>
      <c r="C9" s="48" t="s">
        <v>839</v>
      </c>
      <c r="D9" s="48" t="s">
        <v>824</v>
      </c>
      <c r="E9" s="49" t="s">
        <v>825</v>
      </c>
      <c r="F9" s="48" t="s">
        <v>851</v>
      </c>
      <c r="G9" s="48" t="s">
        <v>852</v>
      </c>
      <c r="H9" s="48" t="s">
        <v>853</v>
      </c>
      <c r="I9" s="49" t="s">
        <v>824</v>
      </c>
      <c r="J9" s="48" t="s">
        <v>854</v>
      </c>
      <c r="K9" s="58" t="s">
        <v>57</v>
      </c>
      <c r="L9" s="49" t="s">
        <v>844</v>
      </c>
      <c r="M9" s="52" t="n">
        <v>46330</v>
      </c>
      <c r="N9" s="52" t="n">
        <v>46359</v>
      </c>
    </row>
    <row r="10" customFormat="false" ht="15" hidden="false" customHeight="false" outlineLevel="0" collapsed="false">
      <c r="A10" s="48" t="s">
        <v>381</v>
      </c>
      <c r="B10" s="48" t="s">
        <v>855</v>
      </c>
      <c r="C10" s="48" t="s">
        <v>833</v>
      </c>
      <c r="D10" s="48" t="s">
        <v>856</v>
      </c>
      <c r="E10" s="49" t="s">
        <v>825</v>
      </c>
      <c r="F10" s="48" t="s">
        <v>826</v>
      </c>
      <c r="G10" s="48" t="s">
        <v>375</v>
      </c>
      <c r="H10" s="48" t="s">
        <v>857</v>
      </c>
      <c r="I10" s="49" t="s">
        <v>824</v>
      </c>
      <c r="J10" s="48" t="s">
        <v>858</v>
      </c>
      <c r="K10" s="58" t="s">
        <v>57</v>
      </c>
      <c r="L10" s="49" t="s">
        <v>859</v>
      </c>
      <c r="M10" s="49"/>
      <c r="N10" s="52" t="n">
        <v>46340</v>
      </c>
    </row>
    <row r="11" customFormat="false" ht="15" hidden="false" customHeight="false" outlineLevel="0" collapsed="false">
      <c r="A11" s="48" t="s">
        <v>386</v>
      </c>
      <c r="B11" s="48" t="s">
        <v>860</v>
      </c>
      <c r="C11" s="48" t="s">
        <v>833</v>
      </c>
      <c r="D11" s="48" t="s">
        <v>824</v>
      </c>
      <c r="E11" s="49" t="s">
        <v>825</v>
      </c>
      <c r="F11" s="48" t="s">
        <v>826</v>
      </c>
      <c r="G11" s="48" t="s">
        <v>375</v>
      </c>
      <c r="H11" s="48" t="s">
        <v>861</v>
      </c>
      <c r="I11" s="49" t="s">
        <v>824</v>
      </c>
      <c r="J11" s="48" t="s">
        <v>862</v>
      </c>
      <c r="K11" s="58" t="s">
        <v>57</v>
      </c>
      <c r="L11" s="49" t="s">
        <v>863</v>
      </c>
      <c r="M11" s="49"/>
      <c r="N11" s="52" t="n">
        <v>46347</v>
      </c>
    </row>
    <row r="12" customFormat="false" ht="22.35" hidden="false" customHeight="false" outlineLevel="0" collapsed="false">
      <c r="A12" s="48" t="s">
        <v>864</v>
      </c>
      <c r="B12" s="48" t="s">
        <v>865</v>
      </c>
      <c r="C12" s="48" t="s">
        <v>866</v>
      </c>
      <c r="D12" s="48" t="s">
        <v>375</v>
      </c>
      <c r="E12" s="49" t="s">
        <v>867</v>
      </c>
      <c r="F12" s="48" t="s">
        <v>867</v>
      </c>
      <c r="G12" s="48" t="s">
        <v>375</v>
      </c>
      <c r="H12" s="48" t="s">
        <v>868</v>
      </c>
      <c r="I12" s="49" t="s">
        <v>375</v>
      </c>
      <c r="J12" s="48" t="s">
        <v>869</v>
      </c>
      <c r="K12" s="58" t="s">
        <v>57</v>
      </c>
      <c r="L12" s="49" t="s">
        <v>870</v>
      </c>
      <c r="M12" s="49"/>
      <c r="N12" s="49"/>
    </row>
    <row r="13" customFormat="false" ht="15" hidden="false" customHeight="false" outlineLevel="0" collapsed="false">
      <c r="A13" s="48" t="s">
        <v>871</v>
      </c>
      <c r="B13" s="48" t="s">
        <v>865</v>
      </c>
      <c r="C13" s="48" t="s">
        <v>395</v>
      </c>
      <c r="D13" s="48" t="s">
        <v>375</v>
      </c>
      <c r="E13" s="49" t="s">
        <v>867</v>
      </c>
      <c r="F13" s="48" t="s">
        <v>867</v>
      </c>
      <c r="G13" s="48" t="s">
        <v>375</v>
      </c>
      <c r="H13" s="48" t="s">
        <v>872</v>
      </c>
      <c r="I13" s="49" t="s">
        <v>375</v>
      </c>
      <c r="J13" s="48" t="s">
        <v>873</v>
      </c>
      <c r="K13" s="58" t="s">
        <v>57</v>
      </c>
      <c r="L13" s="49"/>
      <c r="M13" s="49"/>
      <c r="N13" s="49"/>
    </row>
    <row r="14" customFormat="false" ht="15" hidden="false" customHeight="false" outlineLevel="0" collapsed="false">
      <c r="A14" s="48" t="s">
        <v>874</v>
      </c>
      <c r="B14" s="48" t="s">
        <v>875</v>
      </c>
      <c r="C14" s="48" t="s">
        <v>876</v>
      </c>
      <c r="D14" s="48" t="s">
        <v>824</v>
      </c>
      <c r="E14" s="49" t="s">
        <v>867</v>
      </c>
      <c r="F14" s="48" t="s">
        <v>867</v>
      </c>
      <c r="G14" s="48" t="s">
        <v>375</v>
      </c>
      <c r="H14" s="48" t="s">
        <v>877</v>
      </c>
      <c r="I14" s="49" t="s">
        <v>375</v>
      </c>
      <c r="J14" s="48" t="s">
        <v>367</v>
      </c>
      <c r="K14" s="58" t="s">
        <v>57</v>
      </c>
      <c r="L14" s="49" t="s">
        <v>878</v>
      </c>
      <c r="M14" s="49"/>
      <c r="N14" s="49"/>
    </row>
    <row r="15" customFormat="false" ht="22.35" hidden="false" customHeight="false" outlineLevel="0" collapsed="false">
      <c r="A15" s="48" t="s">
        <v>879</v>
      </c>
      <c r="B15" s="48" t="s">
        <v>880</v>
      </c>
      <c r="C15" s="48" t="s">
        <v>876</v>
      </c>
      <c r="D15" s="48" t="s">
        <v>881</v>
      </c>
      <c r="E15" s="49" t="s">
        <v>867</v>
      </c>
      <c r="F15" s="48" t="s">
        <v>867</v>
      </c>
      <c r="G15" s="48" t="s">
        <v>375</v>
      </c>
      <c r="H15" s="48" t="s">
        <v>882</v>
      </c>
      <c r="I15" s="49" t="s">
        <v>375</v>
      </c>
      <c r="J15" s="48" t="s">
        <v>883</v>
      </c>
      <c r="K15" s="58" t="s">
        <v>57</v>
      </c>
      <c r="L15" s="49" t="s">
        <v>884</v>
      </c>
      <c r="M15" s="49"/>
      <c r="N15" s="49"/>
    </row>
    <row r="16" customFormat="false" ht="22.35" hidden="false" customHeight="false" outlineLevel="0" collapsed="false">
      <c r="A16" s="48" t="s">
        <v>885</v>
      </c>
      <c r="B16" s="48" t="s">
        <v>886</v>
      </c>
      <c r="C16" s="48" t="s">
        <v>887</v>
      </c>
      <c r="D16" s="48" t="s">
        <v>375</v>
      </c>
      <c r="E16" s="49" t="s">
        <v>888</v>
      </c>
      <c r="F16" s="48" t="s">
        <v>888</v>
      </c>
      <c r="G16" s="48" t="s">
        <v>375</v>
      </c>
      <c r="H16" s="48" t="s">
        <v>889</v>
      </c>
      <c r="I16" s="49" t="s">
        <v>375</v>
      </c>
      <c r="J16" s="48" t="s">
        <v>890</v>
      </c>
      <c r="K16" s="58" t="s">
        <v>57</v>
      </c>
      <c r="L16" s="49" t="s">
        <v>891</v>
      </c>
      <c r="M16" s="49"/>
      <c r="N16" s="49"/>
    </row>
  </sheetData>
  <autoFilter ref="A4:N16"/>
  <conditionalFormatting sqref="K5:K216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K5:K21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892</v>
      </c>
    </row>
    <row r="2" customFormat="false" ht="15" hidden="false" customHeight="false" outlineLevel="0" collapsed="false">
      <c r="A2" s="38" t="s">
        <v>893</v>
      </c>
    </row>
    <row r="4" customFormat="false" ht="30" hidden="false" customHeight="true" outlineLevel="0" collapsed="false">
      <c r="A4" s="47" t="s">
        <v>894</v>
      </c>
      <c r="B4" s="47" t="s">
        <v>895</v>
      </c>
      <c r="C4" s="47" t="s">
        <v>896</v>
      </c>
      <c r="D4" s="47" t="s">
        <v>897</v>
      </c>
      <c r="E4" s="47" t="s">
        <v>898</v>
      </c>
      <c r="F4" s="47" t="s">
        <v>899</v>
      </c>
      <c r="G4" s="47" t="s">
        <v>7</v>
      </c>
      <c r="H4" s="47" t="s">
        <v>900</v>
      </c>
      <c r="I4" s="47" t="s">
        <v>901</v>
      </c>
      <c r="J4" s="47" t="s">
        <v>902</v>
      </c>
    </row>
    <row r="5" customFormat="false" ht="22.35" hidden="false" customHeight="false" outlineLevel="0" collapsed="false">
      <c r="A5" s="49" t="s">
        <v>903</v>
      </c>
      <c r="B5" s="48" t="s">
        <v>361</v>
      </c>
      <c r="C5" s="48" t="s">
        <v>904</v>
      </c>
      <c r="D5" s="48" t="s">
        <v>905</v>
      </c>
      <c r="E5" s="49" t="s">
        <v>906</v>
      </c>
      <c r="F5" s="49" t="s">
        <v>907</v>
      </c>
      <c r="G5" s="58" t="s">
        <v>40</v>
      </c>
      <c r="H5" s="48" t="s">
        <v>22</v>
      </c>
      <c r="I5" s="49" t="s">
        <v>908</v>
      </c>
      <c r="J5" s="56" t="n">
        <v>46298</v>
      </c>
    </row>
    <row r="6" customFormat="false" ht="15" hidden="false" customHeight="false" outlineLevel="0" collapsed="false">
      <c r="A6" s="49" t="s">
        <v>909</v>
      </c>
      <c r="B6" s="48" t="s">
        <v>442</v>
      </c>
      <c r="C6" s="48" t="s">
        <v>910</v>
      </c>
      <c r="D6" s="48" t="s">
        <v>911</v>
      </c>
      <c r="E6" s="49" t="s">
        <v>912</v>
      </c>
      <c r="F6" s="49" t="s">
        <v>375</v>
      </c>
      <c r="G6" s="58" t="s">
        <v>40</v>
      </c>
      <c r="H6" s="48" t="s">
        <v>22</v>
      </c>
      <c r="I6" s="49" t="s">
        <v>913</v>
      </c>
      <c r="J6" s="48"/>
    </row>
    <row r="7" customFormat="false" ht="15" hidden="false" customHeight="false" outlineLevel="0" collapsed="false">
      <c r="A7" s="49" t="s">
        <v>914</v>
      </c>
      <c r="B7" s="48" t="s">
        <v>630</v>
      </c>
      <c r="C7" s="48" t="s">
        <v>915</v>
      </c>
      <c r="D7" s="48" t="s">
        <v>916</v>
      </c>
      <c r="E7" s="49" t="s">
        <v>917</v>
      </c>
      <c r="F7" s="49" t="s">
        <v>375</v>
      </c>
      <c r="G7" s="58" t="s">
        <v>57</v>
      </c>
      <c r="H7" s="48" t="s">
        <v>22</v>
      </c>
      <c r="I7" s="49" t="s">
        <v>918</v>
      </c>
      <c r="J7" s="48"/>
    </row>
    <row r="8" customFormat="false" ht="15" hidden="false" customHeight="false" outlineLevel="0" collapsed="false">
      <c r="A8" s="49" t="s">
        <v>914</v>
      </c>
      <c r="B8" s="48" t="s">
        <v>679</v>
      </c>
      <c r="C8" s="48" t="s">
        <v>915</v>
      </c>
      <c r="D8" s="48" t="s">
        <v>919</v>
      </c>
      <c r="E8" s="49" t="s">
        <v>920</v>
      </c>
      <c r="F8" s="49" t="s">
        <v>375</v>
      </c>
      <c r="G8" s="58" t="s">
        <v>57</v>
      </c>
      <c r="H8" s="48" t="s">
        <v>22</v>
      </c>
      <c r="I8" s="49" t="s">
        <v>918</v>
      </c>
      <c r="J8" s="48"/>
    </row>
    <row r="9" customFormat="false" ht="15" hidden="false" customHeight="false" outlineLevel="0" collapsed="false">
      <c r="A9" s="49" t="s">
        <v>914</v>
      </c>
      <c r="B9" s="48" t="s">
        <v>367</v>
      </c>
      <c r="C9" s="48" t="s">
        <v>921</v>
      </c>
      <c r="D9" s="48" t="s">
        <v>922</v>
      </c>
      <c r="E9" s="49" t="s">
        <v>923</v>
      </c>
      <c r="F9" s="49" t="s">
        <v>375</v>
      </c>
      <c r="G9" s="58" t="s">
        <v>57</v>
      </c>
      <c r="H9" s="48" t="s">
        <v>22</v>
      </c>
      <c r="I9" s="49" t="s">
        <v>924</v>
      </c>
      <c r="J9" s="48"/>
    </row>
    <row r="10" customFormat="false" ht="15" hidden="false" customHeight="false" outlineLevel="0" collapsed="false">
      <c r="A10" s="49" t="s">
        <v>914</v>
      </c>
      <c r="B10" s="48" t="s">
        <v>376</v>
      </c>
      <c r="C10" s="48" t="s">
        <v>921</v>
      </c>
      <c r="D10" s="48" t="s">
        <v>925</v>
      </c>
      <c r="E10" s="49" t="s">
        <v>926</v>
      </c>
      <c r="F10" s="49" t="s">
        <v>375</v>
      </c>
      <c r="G10" s="58" t="s">
        <v>57</v>
      </c>
      <c r="H10" s="48" t="s">
        <v>22</v>
      </c>
      <c r="I10" s="49" t="s">
        <v>927</v>
      </c>
      <c r="J10" s="48"/>
    </row>
    <row r="11" customFormat="false" ht="15" hidden="false" customHeight="false" outlineLevel="0" collapsed="false">
      <c r="A11" s="49" t="s">
        <v>914</v>
      </c>
      <c r="B11" s="48" t="s">
        <v>381</v>
      </c>
      <c r="C11" s="48" t="s">
        <v>921</v>
      </c>
      <c r="D11" s="48" t="s">
        <v>928</v>
      </c>
      <c r="E11" s="49" t="s">
        <v>929</v>
      </c>
      <c r="F11" s="49" t="s">
        <v>375</v>
      </c>
      <c r="G11" s="58" t="s">
        <v>57</v>
      </c>
      <c r="H11" s="48" t="s">
        <v>22</v>
      </c>
      <c r="I11" s="49" t="s">
        <v>918</v>
      </c>
      <c r="J11" s="48"/>
    </row>
    <row r="12" customFormat="false" ht="15" hidden="false" customHeight="false" outlineLevel="0" collapsed="false">
      <c r="A12" s="49" t="s">
        <v>914</v>
      </c>
      <c r="B12" s="48" t="s">
        <v>386</v>
      </c>
      <c r="C12" s="48" t="s">
        <v>921</v>
      </c>
      <c r="D12" s="48" t="s">
        <v>930</v>
      </c>
      <c r="E12" s="49" t="s">
        <v>931</v>
      </c>
      <c r="F12" s="49" t="s">
        <v>375</v>
      </c>
      <c r="G12" s="58" t="s">
        <v>57</v>
      </c>
      <c r="H12" s="48" t="s">
        <v>22</v>
      </c>
      <c r="I12" s="49" t="s">
        <v>918</v>
      </c>
      <c r="J12" s="48"/>
    </row>
    <row r="13" customFormat="false" ht="15" hidden="false" customHeight="false" outlineLevel="0" collapsed="false">
      <c r="A13" s="49" t="s">
        <v>914</v>
      </c>
      <c r="B13" s="48" t="s">
        <v>635</v>
      </c>
      <c r="C13" s="48" t="s">
        <v>921</v>
      </c>
      <c r="D13" s="48" t="s">
        <v>932</v>
      </c>
      <c r="E13" s="49" t="s">
        <v>842</v>
      </c>
      <c r="F13" s="49" t="s">
        <v>375</v>
      </c>
      <c r="G13" s="58" t="s">
        <v>57</v>
      </c>
      <c r="H13" s="48" t="s">
        <v>22</v>
      </c>
      <c r="I13" s="49" t="s">
        <v>933</v>
      </c>
      <c r="J13" s="48"/>
    </row>
    <row r="14" customFormat="false" ht="15" hidden="false" customHeight="false" outlineLevel="0" collapsed="false">
      <c r="A14" s="49" t="s">
        <v>914</v>
      </c>
      <c r="B14" s="48" t="s">
        <v>683</v>
      </c>
      <c r="C14" s="48" t="s">
        <v>921</v>
      </c>
      <c r="D14" s="48" t="s">
        <v>934</v>
      </c>
      <c r="E14" s="49" t="s">
        <v>853</v>
      </c>
      <c r="F14" s="49" t="s">
        <v>375</v>
      </c>
      <c r="G14" s="58" t="s">
        <v>57</v>
      </c>
      <c r="H14" s="48" t="s">
        <v>22</v>
      </c>
      <c r="I14" s="49" t="s">
        <v>933</v>
      </c>
      <c r="J14" s="48"/>
    </row>
    <row r="15" customFormat="false" ht="22.35" hidden="false" customHeight="false" outlineLevel="0" collapsed="false">
      <c r="A15" s="49" t="s">
        <v>935</v>
      </c>
      <c r="B15" s="48" t="s">
        <v>435</v>
      </c>
      <c r="C15" s="48" t="s">
        <v>936</v>
      </c>
      <c r="D15" s="48" t="s">
        <v>937</v>
      </c>
      <c r="E15" s="49" t="s">
        <v>938</v>
      </c>
      <c r="F15" s="49" t="s">
        <v>375</v>
      </c>
      <c r="G15" s="58" t="s">
        <v>57</v>
      </c>
      <c r="H15" s="48" t="s">
        <v>22</v>
      </c>
      <c r="I15" s="49" t="s">
        <v>939</v>
      </c>
      <c r="J15" s="48"/>
    </row>
    <row r="16" customFormat="false" ht="15" hidden="false" customHeight="false" outlineLevel="0" collapsed="false">
      <c r="A16" s="49" t="s">
        <v>940</v>
      </c>
      <c r="B16" s="48" t="s">
        <v>435</v>
      </c>
      <c r="C16" s="48" t="s">
        <v>941</v>
      </c>
      <c r="D16" s="48" t="s">
        <v>942</v>
      </c>
      <c r="E16" s="49" t="s">
        <v>375</v>
      </c>
      <c r="F16" s="49" t="s">
        <v>375</v>
      </c>
      <c r="G16" s="58" t="s">
        <v>57</v>
      </c>
      <c r="H16" s="48" t="s">
        <v>22</v>
      </c>
      <c r="I16" s="49" t="s">
        <v>943</v>
      </c>
      <c r="J16" s="48"/>
    </row>
    <row r="17" customFormat="false" ht="15" hidden="false" customHeight="false" outlineLevel="0" collapsed="false">
      <c r="A17" s="49" t="s">
        <v>940</v>
      </c>
      <c r="B17" s="48" t="s">
        <v>435</v>
      </c>
      <c r="C17" s="48" t="s">
        <v>944</v>
      </c>
      <c r="D17" s="48" t="s">
        <v>945</v>
      </c>
      <c r="E17" s="49" t="s">
        <v>375</v>
      </c>
      <c r="F17" s="49" t="s">
        <v>375</v>
      </c>
      <c r="G17" s="58" t="s">
        <v>57</v>
      </c>
      <c r="H17" s="48" t="s">
        <v>22</v>
      </c>
      <c r="I17" s="49" t="s">
        <v>946</v>
      </c>
      <c r="J17" s="48"/>
    </row>
  </sheetData>
  <autoFilter ref="A4:J17"/>
  <conditionalFormatting sqref="G5:G217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17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24" hidden="false" customHeight="true" outlineLevel="0" collapsed="false">
      <c r="A1" s="1" t="s">
        <v>947</v>
      </c>
    </row>
    <row r="2" customFormat="false" ht="15" hidden="false" customHeight="false" outlineLevel="0" collapsed="false">
      <c r="A2" s="38" t="s">
        <v>948</v>
      </c>
    </row>
    <row r="4" customFormat="false" ht="30" hidden="false" customHeight="true" outlineLevel="0" collapsed="false">
      <c r="A4" s="47" t="s">
        <v>1</v>
      </c>
      <c r="B4" s="47" t="s">
        <v>11</v>
      </c>
      <c r="C4" s="47" t="s">
        <v>949</v>
      </c>
      <c r="D4" s="47" t="s">
        <v>950</v>
      </c>
      <c r="E4" s="47" t="s">
        <v>951</v>
      </c>
      <c r="F4" s="47" t="s">
        <v>952</v>
      </c>
      <c r="G4" s="47" t="s">
        <v>900</v>
      </c>
      <c r="H4" s="47" t="s">
        <v>953</v>
      </c>
      <c r="I4" s="47" t="s">
        <v>7</v>
      </c>
    </row>
    <row r="5" customFormat="false" ht="22.35" hidden="false" customHeight="false" outlineLevel="0" collapsed="false">
      <c r="A5" s="48" t="s">
        <v>954</v>
      </c>
      <c r="B5" s="48" t="s">
        <v>955</v>
      </c>
      <c r="C5" s="48" t="s">
        <v>956</v>
      </c>
      <c r="D5" s="48" t="s">
        <v>957</v>
      </c>
      <c r="E5" s="66" t="s">
        <v>958</v>
      </c>
      <c r="F5" s="49" t="s">
        <v>959</v>
      </c>
      <c r="G5" s="48" t="s">
        <v>22</v>
      </c>
      <c r="H5" s="56" t="n">
        <v>46310</v>
      </c>
      <c r="I5" s="49" t="s">
        <v>960</v>
      </c>
    </row>
    <row r="6" customFormat="false" ht="15" hidden="false" customHeight="false" outlineLevel="0" collapsed="false">
      <c r="A6" s="48" t="s">
        <v>961</v>
      </c>
      <c r="B6" s="48" t="s">
        <v>955</v>
      </c>
      <c r="C6" s="48" t="s">
        <v>962</v>
      </c>
      <c r="D6" s="48" t="s">
        <v>963</v>
      </c>
      <c r="E6" s="66" t="s">
        <v>958</v>
      </c>
      <c r="F6" s="49" t="s">
        <v>964</v>
      </c>
      <c r="G6" s="48" t="s">
        <v>22</v>
      </c>
      <c r="H6" s="56" t="n">
        <v>46311</v>
      </c>
      <c r="I6" s="49" t="s">
        <v>960</v>
      </c>
    </row>
    <row r="7" customFormat="false" ht="15" hidden="false" customHeight="false" outlineLevel="0" collapsed="false">
      <c r="A7" s="48" t="s">
        <v>965</v>
      </c>
      <c r="B7" s="48" t="s">
        <v>955</v>
      </c>
      <c r="C7" s="48" t="s">
        <v>966</v>
      </c>
      <c r="D7" s="48" t="s">
        <v>967</v>
      </c>
      <c r="E7" s="66" t="s">
        <v>958</v>
      </c>
      <c r="F7" s="49" t="s">
        <v>968</v>
      </c>
      <c r="G7" s="48" t="s">
        <v>22</v>
      </c>
      <c r="H7" s="56" t="n">
        <v>46310</v>
      </c>
      <c r="I7" s="49" t="s">
        <v>960</v>
      </c>
    </row>
    <row r="8" customFormat="false" ht="22.35" hidden="false" customHeight="false" outlineLevel="0" collapsed="false">
      <c r="A8" s="48" t="s">
        <v>969</v>
      </c>
      <c r="B8" s="48" t="s">
        <v>970</v>
      </c>
      <c r="C8" s="48" t="s">
        <v>971</v>
      </c>
      <c r="D8" s="48" t="s">
        <v>972</v>
      </c>
      <c r="E8" s="67" t="s">
        <v>973</v>
      </c>
      <c r="F8" s="49" t="s">
        <v>974</v>
      </c>
      <c r="G8" s="48" t="s">
        <v>22</v>
      </c>
      <c r="H8" s="56" t="n">
        <v>46318</v>
      </c>
      <c r="I8" s="49" t="s">
        <v>975</v>
      </c>
    </row>
    <row r="9" customFormat="false" ht="15" hidden="false" customHeight="false" outlineLevel="0" collapsed="false">
      <c r="A9" s="48" t="s">
        <v>976</v>
      </c>
      <c r="B9" s="48" t="s">
        <v>970</v>
      </c>
      <c r="C9" s="48" t="s">
        <v>977</v>
      </c>
      <c r="D9" s="48" t="s">
        <v>978</v>
      </c>
      <c r="E9" s="67" t="s">
        <v>973</v>
      </c>
      <c r="F9" s="49" t="s">
        <v>979</v>
      </c>
      <c r="G9" s="48" t="s">
        <v>22</v>
      </c>
      <c r="H9" s="56" t="n">
        <v>46346</v>
      </c>
      <c r="I9" s="49" t="s">
        <v>975</v>
      </c>
    </row>
    <row r="10" customFormat="false" ht="15" hidden="false" customHeight="false" outlineLevel="0" collapsed="false">
      <c r="A10" s="48" t="s">
        <v>980</v>
      </c>
      <c r="B10" s="48" t="s">
        <v>970</v>
      </c>
      <c r="C10" s="48" t="s">
        <v>981</v>
      </c>
      <c r="D10" s="48" t="s">
        <v>982</v>
      </c>
      <c r="E10" s="67" t="s">
        <v>973</v>
      </c>
      <c r="F10" s="49" t="s">
        <v>983</v>
      </c>
      <c r="G10" s="48" t="s">
        <v>22</v>
      </c>
      <c r="H10" s="56" t="n">
        <v>46332</v>
      </c>
      <c r="I10" s="49" t="s">
        <v>975</v>
      </c>
    </row>
    <row r="11" customFormat="false" ht="22.35" hidden="false" customHeight="false" outlineLevel="0" collapsed="false">
      <c r="A11" s="48" t="s">
        <v>984</v>
      </c>
      <c r="B11" s="48" t="s">
        <v>970</v>
      </c>
      <c r="C11" s="48" t="s">
        <v>985</v>
      </c>
      <c r="D11" s="48" t="s">
        <v>986</v>
      </c>
      <c r="E11" s="67" t="s">
        <v>973</v>
      </c>
      <c r="F11" s="49" t="s">
        <v>987</v>
      </c>
      <c r="G11" s="48" t="s">
        <v>22</v>
      </c>
      <c r="H11" s="56" t="n">
        <v>46316</v>
      </c>
      <c r="I11" s="49" t="s">
        <v>975</v>
      </c>
    </row>
    <row r="12" customFormat="false" ht="15" hidden="false" customHeight="false" outlineLevel="0" collapsed="false">
      <c r="A12" s="48" t="s">
        <v>988</v>
      </c>
      <c r="B12" s="48" t="s">
        <v>970</v>
      </c>
      <c r="C12" s="48" t="s">
        <v>989</v>
      </c>
      <c r="D12" s="48" t="s">
        <v>990</v>
      </c>
      <c r="E12" s="68" t="s">
        <v>991</v>
      </c>
      <c r="F12" s="49" t="s">
        <v>992</v>
      </c>
      <c r="G12" s="48" t="s">
        <v>436</v>
      </c>
      <c r="H12" s="56" t="n">
        <v>46339</v>
      </c>
      <c r="I12" s="49" t="s">
        <v>975</v>
      </c>
    </row>
    <row r="13" customFormat="false" ht="15" hidden="false" customHeight="false" outlineLevel="0" collapsed="false">
      <c r="A13" s="48" t="s">
        <v>993</v>
      </c>
      <c r="B13" s="48" t="s">
        <v>970</v>
      </c>
      <c r="C13" s="48" t="s">
        <v>994</v>
      </c>
      <c r="D13" s="48" t="s">
        <v>995</v>
      </c>
      <c r="E13" s="67" t="s">
        <v>973</v>
      </c>
      <c r="F13" s="49" t="s">
        <v>996</v>
      </c>
      <c r="G13" s="48" t="s">
        <v>567</v>
      </c>
      <c r="H13" s="56" t="n">
        <v>46338</v>
      </c>
      <c r="I13" s="49" t="s">
        <v>975</v>
      </c>
    </row>
    <row r="14" customFormat="false" ht="15" hidden="false" customHeight="false" outlineLevel="0" collapsed="false">
      <c r="A14" s="48" t="s">
        <v>997</v>
      </c>
      <c r="B14" s="48" t="s">
        <v>970</v>
      </c>
      <c r="C14" s="48" t="s">
        <v>998</v>
      </c>
      <c r="D14" s="48" t="s">
        <v>999</v>
      </c>
      <c r="E14" s="68" t="s">
        <v>991</v>
      </c>
      <c r="F14" s="49" t="s">
        <v>1000</v>
      </c>
      <c r="G14" s="48" t="s">
        <v>567</v>
      </c>
      <c r="H14" s="56" t="n">
        <v>46342</v>
      </c>
      <c r="I14" s="49" t="s">
        <v>975</v>
      </c>
    </row>
    <row r="15" customFormat="false" ht="15" hidden="false" customHeight="false" outlineLevel="0" collapsed="false">
      <c r="A15" s="48" t="s">
        <v>1001</v>
      </c>
      <c r="B15" s="48" t="s">
        <v>970</v>
      </c>
      <c r="C15" s="48" t="s">
        <v>1002</v>
      </c>
      <c r="D15" s="48" t="s">
        <v>1003</v>
      </c>
      <c r="E15" s="68" t="s">
        <v>991</v>
      </c>
      <c r="F15" s="49" t="s">
        <v>1004</v>
      </c>
      <c r="G15" s="48" t="s">
        <v>86</v>
      </c>
      <c r="H15" s="56" t="n">
        <v>46337</v>
      </c>
      <c r="I15" s="49" t="s">
        <v>975</v>
      </c>
    </row>
    <row r="16" customFormat="false" ht="15" hidden="false" customHeight="false" outlineLevel="0" collapsed="false">
      <c r="A16" s="48" t="s">
        <v>1005</v>
      </c>
      <c r="B16" s="48" t="s">
        <v>970</v>
      </c>
      <c r="C16" s="48" t="s">
        <v>1006</v>
      </c>
      <c r="D16" s="48" t="s">
        <v>1007</v>
      </c>
      <c r="E16" s="67" t="s">
        <v>973</v>
      </c>
      <c r="F16" s="49" t="s">
        <v>1008</v>
      </c>
      <c r="G16" s="48" t="s">
        <v>22</v>
      </c>
      <c r="H16" s="56" t="n">
        <v>46323</v>
      </c>
      <c r="I16" s="49" t="s">
        <v>975</v>
      </c>
    </row>
    <row r="17" customFormat="false" ht="15" hidden="false" customHeight="false" outlineLevel="0" collapsed="false">
      <c r="A17" s="48" t="s">
        <v>1009</v>
      </c>
      <c r="B17" s="48" t="s">
        <v>970</v>
      </c>
      <c r="C17" s="48" t="s">
        <v>1010</v>
      </c>
      <c r="D17" s="48" t="s">
        <v>1011</v>
      </c>
      <c r="E17" s="68" t="s">
        <v>991</v>
      </c>
      <c r="F17" s="49" t="s">
        <v>1012</v>
      </c>
      <c r="G17" s="48" t="s">
        <v>1013</v>
      </c>
      <c r="H17" s="56" t="n">
        <v>46342</v>
      </c>
      <c r="I17" s="49" t="s">
        <v>975</v>
      </c>
    </row>
    <row r="18" customFormat="false" ht="15" hidden="false" customHeight="false" outlineLevel="0" collapsed="false">
      <c r="A18" s="48" t="s">
        <v>1014</v>
      </c>
      <c r="B18" s="48" t="s">
        <v>970</v>
      </c>
      <c r="C18" s="48" t="s">
        <v>1015</v>
      </c>
      <c r="D18" s="48" t="s">
        <v>1016</v>
      </c>
      <c r="E18" s="68" t="s">
        <v>991</v>
      </c>
      <c r="F18" s="49" t="s">
        <v>1017</v>
      </c>
      <c r="G18" s="48" t="s">
        <v>22</v>
      </c>
      <c r="H18" s="56" t="n">
        <v>46316</v>
      </c>
      <c r="I18" s="49" t="s">
        <v>975</v>
      </c>
    </row>
    <row r="19" customFormat="false" ht="15" hidden="false" customHeight="false" outlineLevel="0" collapsed="false">
      <c r="A19" s="48" t="s">
        <v>1018</v>
      </c>
      <c r="B19" s="48" t="s">
        <v>970</v>
      </c>
      <c r="C19" s="48" t="s">
        <v>1019</v>
      </c>
      <c r="D19" s="48" t="s">
        <v>1020</v>
      </c>
      <c r="E19" s="68" t="s">
        <v>991</v>
      </c>
      <c r="F19" s="49" t="s">
        <v>1021</v>
      </c>
      <c r="G19" s="48" t="s">
        <v>436</v>
      </c>
      <c r="H19" s="56" t="n">
        <v>46323</v>
      </c>
      <c r="I19" s="49" t="s">
        <v>975</v>
      </c>
    </row>
    <row r="20" customFormat="false" ht="15" hidden="false" customHeight="false" outlineLevel="0" collapsed="false">
      <c r="A20" s="48" t="s">
        <v>1022</v>
      </c>
      <c r="B20" s="48" t="s">
        <v>970</v>
      </c>
      <c r="C20" s="48" t="s">
        <v>1023</v>
      </c>
      <c r="D20" s="48" t="s">
        <v>1024</v>
      </c>
      <c r="E20" s="68" t="s">
        <v>991</v>
      </c>
      <c r="F20" s="49" t="s">
        <v>1025</v>
      </c>
      <c r="G20" s="48" t="s">
        <v>1026</v>
      </c>
      <c r="H20" s="56" t="n">
        <v>46341</v>
      </c>
      <c r="I20" s="49" t="s">
        <v>975</v>
      </c>
    </row>
    <row r="21" customFormat="false" ht="15" hidden="false" customHeight="false" outlineLevel="0" collapsed="false">
      <c r="A21" s="48" t="s">
        <v>1027</v>
      </c>
      <c r="B21" s="48" t="s">
        <v>970</v>
      </c>
      <c r="C21" s="48" t="s">
        <v>1028</v>
      </c>
      <c r="D21" s="48" t="s">
        <v>1029</v>
      </c>
      <c r="E21" s="66" t="s">
        <v>958</v>
      </c>
      <c r="F21" s="49" t="s">
        <v>1030</v>
      </c>
      <c r="G21" s="48" t="s">
        <v>436</v>
      </c>
      <c r="H21" s="56" t="n">
        <v>46388</v>
      </c>
      <c r="I21" s="49" t="s">
        <v>975</v>
      </c>
    </row>
    <row r="22" customFormat="false" ht="32.8" hidden="false" customHeight="false" outlineLevel="0" collapsed="false">
      <c r="A22" s="48" t="s">
        <v>1031</v>
      </c>
      <c r="B22" s="48" t="s">
        <v>1032</v>
      </c>
      <c r="C22" s="48" t="s">
        <v>1033</v>
      </c>
      <c r="D22" s="48" t="s">
        <v>375</v>
      </c>
      <c r="E22" s="48" t="s">
        <v>375</v>
      </c>
      <c r="F22" s="49" t="s">
        <v>375</v>
      </c>
      <c r="G22" s="48" t="s">
        <v>56</v>
      </c>
      <c r="H22" s="48"/>
      <c r="I22" s="49" t="s">
        <v>975</v>
      </c>
    </row>
    <row r="23" customFormat="false" ht="15" hidden="false" customHeight="false" outlineLevel="0" collapsed="false">
      <c r="A23" s="48" t="s">
        <v>1034</v>
      </c>
      <c r="B23" s="48" t="s">
        <v>1032</v>
      </c>
      <c r="C23" s="48" t="s">
        <v>1035</v>
      </c>
      <c r="D23" s="48" t="s">
        <v>375</v>
      </c>
      <c r="E23" s="48" t="s">
        <v>375</v>
      </c>
      <c r="F23" s="49" t="s">
        <v>375</v>
      </c>
      <c r="G23" s="48" t="s">
        <v>22</v>
      </c>
      <c r="H23" s="48"/>
      <c r="I23" s="49" t="s">
        <v>975</v>
      </c>
    </row>
    <row r="24" customFormat="false" ht="15" hidden="false" customHeight="false" outlineLevel="0" collapsed="false">
      <c r="A24" s="48" t="s">
        <v>1036</v>
      </c>
      <c r="B24" s="48" t="s">
        <v>1032</v>
      </c>
      <c r="C24" s="48" t="s">
        <v>1037</v>
      </c>
      <c r="D24" s="48" t="s">
        <v>375</v>
      </c>
      <c r="E24" s="48" t="s">
        <v>375</v>
      </c>
      <c r="F24" s="49" t="s">
        <v>375</v>
      </c>
      <c r="G24" s="48" t="s">
        <v>22</v>
      </c>
      <c r="H24" s="48"/>
      <c r="I24" s="49" t="s">
        <v>975</v>
      </c>
    </row>
    <row r="25" customFormat="false" ht="15" hidden="false" customHeight="false" outlineLevel="0" collapsed="false">
      <c r="A25" s="48" t="s">
        <v>1038</v>
      </c>
      <c r="B25" s="48" t="s">
        <v>1032</v>
      </c>
      <c r="C25" s="48" t="s">
        <v>1039</v>
      </c>
      <c r="D25" s="48" t="s">
        <v>375</v>
      </c>
      <c r="E25" s="48" t="s">
        <v>375</v>
      </c>
      <c r="F25" s="49" t="s">
        <v>375</v>
      </c>
      <c r="G25" s="48" t="s">
        <v>567</v>
      </c>
      <c r="H25" s="48"/>
      <c r="I25" s="49" t="s">
        <v>975</v>
      </c>
    </row>
    <row r="26" customFormat="false" ht="15" hidden="false" customHeight="false" outlineLevel="0" collapsed="false">
      <c r="A26" s="48" t="s">
        <v>1040</v>
      </c>
      <c r="B26" s="48" t="s">
        <v>1032</v>
      </c>
      <c r="C26" s="48" t="s">
        <v>1041</v>
      </c>
      <c r="D26" s="48" t="s">
        <v>375</v>
      </c>
      <c r="E26" s="48" t="s">
        <v>375</v>
      </c>
      <c r="F26" s="49" t="s">
        <v>375</v>
      </c>
      <c r="G26" s="48" t="s">
        <v>56</v>
      </c>
      <c r="H26" s="48"/>
      <c r="I26" s="49" t="s">
        <v>975</v>
      </c>
    </row>
    <row r="27" customFormat="false" ht="15" hidden="false" customHeight="false" outlineLevel="0" collapsed="false">
      <c r="A27" s="48" t="s">
        <v>1042</v>
      </c>
      <c r="B27" s="48" t="s">
        <v>1032</v>
      </c>
      <c r="C27" s="48" t="s">
        <v>1043</v>
      </c>
      <c r="D27" s="48" t="s">
        <v>375</v>
      </c>
      <c r="E27" s="48" t="s">
        <v>375</v>
      </c>
      <c r="F27" s="49" t="s">
        <v>375</v>
      </c>
      <c r="G27" s="48" t="s">
        <v>56</v>
      </c>
      <c r="H27" s="48"/>
      <c r="I27" s="49" t="s">
        <v>975</v>
      </c>
    </row>
    <row r="28" customFormat="false" ht="15" hidden="false" customHeight="false" outlineLevel="0" collapsed="false">
      <c r="A28" s="48" t="s">
        <v>1044</v>
      </c>
      <c r="B28" s="48" t="s">
        <v>1032</v>
      </c>
      <c r="C28" s="48" t="s">
        <v>1045</v>
      </c>
      <c r="D28" s="48" t="s">
        <v>375</v>
      </c>
      <c r="E28" s="48" t="s">
        <v>375</v>
      </c>
      <c r="F28" s="49" t="s">
        <v>375</v>
      </c>
      <c r="G28" s="48" t="s">
        <v>22</v>
      </c>
      <c r="H28" s="48"/>
      <c r="I28" s="49" t="s">
        <v>975</v>
      </c>
    </row>
    <row r="29" customFormat="false" ht="15" hidden="false" customHeight="false" outlineLevel="0" collapsed="false">
      <c r="A29" s="48" t="s">
        <v>1046</v>
      </c>
      <c r="B29" s="48" t="s">
        <v>1047</v>
      </c>
      <c r="C29" s="48" t="s">
        <v>1048</v>
      </c>
      <c r="D29" s="48" t="s">
        <v>375</v>
      </c>
      <c r="E29" s="48" t="s">
        <v>375</v>
      </c>
      <c r="F29" s="49" t="s">
        <v>375</v>
      </c>
      <c r="G29" s="48" t="s">
        <v>1049</v>
      </c>
      <c r="H29" s="56" t="n">
        <v>46310</v>
      </c>
      <c r="I29" s="49" t="s">
        <v>960</v>
      </c>
    </row>
    <row r="30" customFormat="false" ht="15" hidden="false" customHeight="false" outlineLevel="0" collapsed="false">
      <c r="A30" s="48" t="s">
        <v>1050</v>
      </c>
      <c r="B30" s="48" t="s">
        <v>1047</v>
      </c>
      <c r="C30" s="48" t="s">
        <v>1051</v>
      </c>
      <c r="D30" s="48" t="s">
        <v>375</v>
      </c>
      <c r="E30" s="48" t="s">
        <v>375</v>
      </c>
      <c r="F30" s="49" t="s">
        <v>375</v>
      </c>
      <c r="G30" s="48" t="s">
        <v>1049</v>
      </c>
      <c r="H30" s="56" t="n">
        <v>46312</v>
      </c>
      <c r="I30" s="49" t="s">
        <v>960</v>
      </c>
    </row>
    <row r="31" customFormat="false" ht="15" hidden="false" customHeight="false" outlineLevel="0" collapsed="false">
      <c r="A31" s="48" t="s">
        <v>1052</v>
      </c>
      <c r="B31" s="48" t="s">
        <v>1047</v>
      </c>
      <c r="C31" s="48" t="s">
        <v>1053</v>
      </c>
      <c r="D31" s="48" t="s">
        <v>375</v>
      </c>
      <c r="E31" s="48" t="s">
        <v>375</v>
      </c>
      <c r="F31" s="49" t="s">
        <v>375</v>
      </c>
      <c r="G31" s="48" t="s">
        <v>1049</v>
      </c>
      <c r="H31" s="56" t="n">
        <v>46312</v>
      </c>
      <c r="I31" s="49" t="s">
        <v>960</v>
      </c>
    </row>
    <row r="32" customFormat="false" ht="15" hidden="false" customHeight="false" outlineLevel="0" collapsed="false">
      <c r="A32" s="48" t="s">
        <v>1054</v>
      </c>
      <c r="B32" s="48" t="s">
        <v>1047</v>
      </c>
      <c r="C32" s="48" t="s">
        <v>1055</v>
      </c>
      <c r="D32" s="48" t="s">
        <v>375</v>
      </c>
      <c r="E32" s="48" t="s">
        <v>375</v>
      </c>
      <c r="F32" s="49" t="s">
        <v>375</v>
      </c>
      <c r="G32" s="48" t="s">
        <v>1049</v>
      </c>
      <c r="H32" s="56" t="n">
        <v>46312</v>
      </c>
      <c r="I32" s="49" t="s">
        <v>960</v>
      </c>
    </row>
    <row r="33" customFormat="false" ht="15" hidden="false" customHeight="false" outlineLevel="0" collapsed="false">
      <c r="A33" s="48" t="s">
        <v>1056</v>
      </c>
      <c r="B33" s="48" t="s">
        <v>1047</v>
      </c>
      <c r="C33" s="48" t="s">
        <v>1057</v>
      </c>
      <c r="D33" s="48" t="s">
        <v>375</v>
      </c>
      <c r="E33" s="48" t="s">
        <v>375</v>
      </c>
      <c r="F33" s="49" t="s">
        <v>375</v>
      </c>
      <c r="G33" s="48" t="s">
        <v>1049</v>
      </c>
      <c r="H33" s="56" t="n">
        <v>46312</v>
      </c>
      <c r="I33" s="49" t="s">
        <v>960</v>
      </c>
    </row>
    <row r="34" customFormat="false" ht="15" hidden="false" customHeight="false" outlineLevel="0" collapsed="false">
      <c r="A34" s="48" t="s">
        <v>1058</v>
      </c>
      <c r="B34" s="48" t="s">
        <v>1047</v>
      </c>
      <c r="C34" s="48" t="s">
        <v>1059</v>
      </c>
      <c r="D34" s="48" t="s">
        <v>375</v>
      </c>
      <c r="E34" s="68" t="s">
        <v>991</v>
      </c>
      <c r="F34" s="49" t="s">
        <v>1060</v>
      </c>
      <c r="G34" s="48" t="s">
        <v>22</v>
      </c>
      <c r="H34" s="56" t="n">
        <v>46317</v>
      </c>
      <c r="I34" s="49" t="s">
        <v>975</v>
      </c>
    </row>
    <row r="35" customFormat="false" ht="15" hidden="false" customHeight="false" outlineLevel="0" collapsed="false">
      <c r="A35" s="48" t="s">
        <v>1061</v>
      </c>
      <c r="B35" s="48" t="s">
        <v>1047</v>
      </c>
      <c r="C35" s="48" t="s">
        <v>1062</v>
      </c>
      <c r="D35" s="48" t="s">
        <v>375</v>
      </c>
      <c r="E35" s="66" t="s">
        <v>958</v>
      </c>
      <c r="F35" s="49" t="s">
        <v>1063</v>
      </c>
      <c r="G35" s="48" t="s">
        <v>1013</v>
      </c>
      <c r="H35" s="56" t="n">
        <v>46317</v>
      </c>
      <c r="I35" s="49" t="s">
        <v>975</v>
      </c>
    </row>
    <row r="36" customFormat="false" ht="15" hidden="false" customHeight="false" outlineLevel="0" collapsed="false">
      <c r="A36" s="48" t="s">
        <v>1064</v>
      </c>
      <c r="B36" s="48" t="s">
        <v>1047</v>
      </c>
      <c r="C36" s="48" t="s">
        <v>1065</v>
      </c>
      <c r="D36" s="48" t="s">
        <v>375</v>
      </c>
      <c r="E36" s="66" t="s">
        <v>958</v>
      </c>
      <c r="F36" s="49" t="s">
        <v>1066</v>
      </c>
      <c r="G36" s="48" t="s">
        <v>567</v>
      </c>
      <c r="H36" s="56" t="n">
        <v>46318</v>
      </c>
      <c r="I36" s="49" t="s">
        <v>975</v>
      </c>
    </row>
    <row r="37" customFormat="false" ht="15" hidden="false" customHeight="false" outlineLevel="0" collapsed="false">
      <c r="A37" s="48" t="s">
        <v>1067</v>
      </c>
      <c r="B37" s="48" t="s">
        <v>1047</v>
      </c>
      <c r="C37" s="48" t="s">
        <v>1068</v>
      </c>
      <c r="D37" s="48" t="s">
        <v>375</v>
      </c>
      <c r="E37" s="66" t="s">
        <v>958</v>
      </c>
      <c r="F37" s="49" t="s">
        <v>1069</v>
      </c>
      <c r="G37" s="48" t="s">
        <v>22</v>
      </c>
      <c r="H37" s="56" t="n">
        <v>46317</v>
      </c>
      <c r="I37" s="49" t="s">
        <v>975</v>
      </c>
    </row>
    <row r="38" customFormat="false" ht="15" hidden="false" customHeight="false" outlineLevel="0" collapsed="false">
      <c r="A38" s="48" t="s">
        <v>1070</v>
      </c>
      <c r="B38" s="48" t="s">
        <v>1047</v>
      </c>
      <c r="C38" s="48" t="s">
        <v>1071</v>
      </c>
      <c r="D38" s="48" t="s">
        <v>375</v>
      </c>
      <c r="E38" s="66" t="s">
        <v>958</v>
      </c>
      <c r="F38" s="49" t="s">
        <v>1072</v>
      </c>
      <c r="G38" s="48" t="s">
        <v>22</v>
      </c>
      <c r="H38" s="56" t="n">
        <v>46323</v>
      </c>
      <c r="I38" s="49" t="s">
        <v>975</v>
      </c>
    </row>
  </sheetData>
  <autoFilter ref="A4:I38"/>
  <dataValidations count="1">
    <dataValidation allowBlank="false" errorStyle="stop" operator="between" showDropDown="false" showErrorMessage="false" showInputMessage="false" sqref="I5:I238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" t="s">
        <v>1073</v>
      </c>
    </row>
    <row r="2" customFormat="false" ht="15" hidden="false" customHeight="false" outlineLevel="0" collapsed="false">
      <c r="A2" s="38" t="s">
        <v>1074</v>
      </c>
    </row>
    <row r="4" customFormat="false" ht="30" hidden="false" customHeight="true" outlineLevel="0" collapsed="false">
      <c r="A4" s="47" t="s">
        <v>1075</v>
      </c>
      <c r="B4" s="47" t="s">
        <v>1076</v>
      </c>
      <c r="C4" s="47" t="s">
        <v>1077</v>
      </c>
      <c r="D4" s="47" t="s">
        <v>1078</v>
      </c>
      <c r="E4" s="47" t="s">
        <v>1079</v>
      </c>
      <c r="F4" s="47" t="s">
        <v>1080</v>
      </c>
      <c r="G4" s="47" t="s">
        <v>900</v>
      </c>
      <c r="H4" s="47" t="s">
        <v>7</v>
      </c>
      <c r="I4" s="47" t="s">
        <v>1081</v>
      </c>
    </row>
    <row r="5" customFormat="false" ht="22.35" hidden="false" customHeight="false" outlineLevel="0" collapsed="false">
      <c r="A5" s="48" t="s">
        <v>1082</v>
      </c>
      <c r="B5" s="48" t="s">
        <v>1083</v>
      </c>
      <c r="C5" s="48" t="s">
        <v>1084</v>
      </c>
      <c r="D5" s="48" t="s">
        <v>1085</v>
      </c>
      <c r="E5" s="69" t="s">
        <v>1086</v>
      </c>
      <c r="F5" s="48" t="s">
        <v>375</v>
      </c>
      <c r="G5" s="48" t="s">
        <v>22</v>
      </c>
      <c r="H5" s="58" t="s">
        <v>57</v>
      </c>
      <c r="I5" s="49"/>
    </row>
    <row r="6" customFormat="false" ht="15" hidden="false" customHeight="false" outlineLevel="0" collapsed="false">
      <c r="A6" s="48" t="s">
        <v>1087</v>
      </c>
      <c r="B6" s="48" t="s">
        <v>1083</v>
      </c>
      <c r="C6" s="48" t="s">
        <v>1088</v>
      </c>
      <c r="D6" s="48" t="s">
        <v>1089</v>
      </c>
      <c r="E6" s="69" t="s">
        <v>1086</v>
      </c>
      <c r="F6" s="48" t="s">
        <v>375</v>
      </c>
      <c r="G6" s="48" t="s">
        <v>22</v>
      </c>
      <c r="H6" s="58" t="s">
        <v>57</v>
      </c>
      <c r="I6" s="49"/>
    </row>
    <row r="7" customFormat="false" ht="15" hidden="false" customHeight="false" outlineLevel="0" collapsed="false">
      <c r="A7" s="48" t="s">
        <v>1090</v>
      </c>
      <c r="B7" s="48" t="s">
        <v>1083</v>
      </c>
      <c r="C7" s="48" t="s">
        <v>1091</v>
      </c>
      <c r="D7" s="48" t="s">
        <v>1092</v>
      </c>
      <c r="E7" s="69" t="s">
        <v>1086</v>
      </c>
      <c r="F7" s="48" t="s">
        <v>375</v>
      </c>
      <c r="G7" s="48" t="s">
        <v>22</v>
      </c>
      <c r="H7" s="58" t="s">
        <v>57</v>
      </c>
      <c r="I7" s="49"/>
    </row>
    <row r="8" customFormat="false" ht="15" hidden="false" customHeight="false" outlineLevel="0" collapsed="false">
      <c r="A8" s="48" t="s">
        <v>1093</v>
      </c>
      <c r="B8" s="48" t="s">
        <v>1094</v>
      </c>
      <c r="C8" s="48" t="s">
        <v>1095</v>
      </c>
      <c r="D8" s="48" t="s">
        <v>1096</v>
      </c>
      <c r="E8" s="69" t="s">
        <v>1086</v>
      </c>
      <c r="F8" s="48" t="s">
        <v>375</v>
      </c>
      <c r="G8" s="48" t="s">
        <v>436</v>
      </c>
      <c r="H8" s="58" t="s">
        <v>57</v>
      </c>
      <c r="I8" s="49"/>
    </row>
    <row r="9" customFormat="false" ht="15" hidden="false" customHeight="false" outlineLevel="0" collapsed="false">
      <c r="A9" s="48" t="s">
        <v>1097</v>
      </c>
      <c r="B9" s="48" t="s">
        <v>1083</v>
      </c>
      <c r="C9" s="48" t="s">
        <v>1098</v>
      </c>
      <c r="D9" s="48" t="s">
        <v>1099</v>
      </c>
      <c r="E9" s="69" t="s">
        <v>1086</v>
      </c>
      <c r="F9" s="48" t="s">
        <v>375</v>
      </c>
      <c r="G9" s="48" t="s">
        <v>22</v>
      </c>
      <c r="H9" s="58" t="s">
        <v>57</v>
      </c>
      <c r="I9" s="49"/>
    </row>
    <row r="10" customFormat="false" ht="15" hidden="false" customHeight="false" outlineLevel="0" collapsed="false">
      <c r="A10" s="48" t="s">
        <v>1100</v>
      </c>
      <c r="B10" s="48" t="s">
        <v>1083</v>
      </c>
      <c r="C10" s="48" t="s">
        <v>1101</v>
      </c>
      <c r="D10" s="48" t="s">
        <v>1102</v>
      </c>
      <c r="E10" s="69" t="s">
        <v>1086</v>
      </c>
      <c r="F10" s="48" t="s">
        <v>375</v>
      </c>
      <c r="G10" s="48" t="s">
        <v>22</v>
      </c>
      <c r="H10" s="58" t="s">
        <v>57</v>
      </c>
      <c r="I10" s="49"/>
    </row>
    <row r="11" customFormat="false" ht="15" hidden="false" customHeight="false" outlineLevel="0" collapsed="false">
      <c r="A11" s="48" t="s">
        <v>1103</v>
      </c>
      <c r="B11" s="48" t="s">
        <v>1104</v>
      </c>
      <c r="C11" s="48" t="s">
        <v>1105</v>
      </c>
      <c r="D11" s="48" t="s">
        <v>1106</v>
      </c>
      <c r="E11" s="69" t="s">
        <v>1086</v>
      </c>
      <c r="F11" s="48" t="s">
        <v>375</v>
      </c>
      <c r="G11" s="48" t="s">
        <v>1107</v>
      </c>
      <c r="H11" s="58" t="s">
        <v>57</v>
      </c>
      <c r="I11" s="49"/>
    </row>
    <row r="12" customFormat="false" ht="15" hidden="false" customHeight="false" outlineLevel="0" collapsed="false">
      <c r="A12" s="48" t="s">
        <v>1108</v>
      </c>
      <c r="B12" s="48" t="s">
        <v>1104</v>
      </c>
      <c r="C12" s="48" t="s">
        <v>1109</v>
      </c>
      <c r="D12" s="48" t="s">
        <v>1110</v>
      </c>
      <c r="E12" s="70" t="s">
        <v>1111</v>
      </c>
      <c r="F12" s="48" t="s">
        <v>1112</v>
      </c>
      <c r="G12" s="48" t="s">
        <v>22</v>
      </c>
      <c r="H12" s="58" t="s">
        <v>57</v>
      </c>
      <c r="I12" s="49"/>
    </row>
    <row r="13" customFormat="false" ht="15" hidden="false" customHeight="false" outlineLevel="0" collapsed="false">
      <c r="A13" s="48" t="s">
        <v>1113</v>
      </c>
      <c r="B13" s="48" t="s">
        <v>1094</v>
      </c>
      <c r="C13" s="48" t="s">
        <v>1114</v>
      </c>
      <c r="D13" s="48" t="s">
        <v>1115</v>
      </c>
      <c r="E13" s="69" t="s">
        <v>1086</v>
      </c>
      <c r="F13" s="48" t="s">
        <v>375</v>
      </c>
      <c r="G13" s="48" t="s">
        <v>436</v>
      </c>
      <c r="H13" s="58" t="s">
        <v>57</v>
      </c>
      <c r="I13" s="49"/>
    </row>
    <row r="14" customFormat="false" ht="15" hidden="false" customHeight="false" outlineLevel="0" collapsed="false">
      <c r="A14" s="48" t="s">
        <v>1116</v>
      </c>
      <c r="B14" s="48" t="s">
        <v>1117</v>
      </c>
      <c r="C14" s="48" t="s">
        <v>1118</v>
      </c>
      <c r="D14" s="48" t="s">
        <v>1119</v>
      </c>
      <c r="E14" s="69" t="s">
        <v>1086</v>
      </c>
      <c r="F14" s="48" t="s">
        <v>375</v>
      </c>
      <c r="G14" s="48" t="s">
        <v>528</v>
      </c>
      <c r="H14" s="58" t="s">
        <v>57</v>
      </c>
      <c r="I14" s="49"/>
    </row>
    <row r="15" customFormat="false" ht="15" hidden="false" customHeight="false" outlineLevel="0" collapsed="false">
      <c r="A15" s="48" t="s">
        <v>1120</v>
      </c>
      <c r="B15" s="48" t="s">
        <v>1117</v>
      </c>
      <c r="C15" s="48" t="s">
        <v>1121</v>
      </c>
      <c r="D15" s="48" t="s">
        <v>1122</v>
      </c>
      <c r="E15" s="71" t="s">
        <v>1123</v>
      </c>
      <c r="F15" s="48" t="s">
        <v>1124</v>
      </c>
      <c r="G15" s="48" t="s">
        <v>528</v>
      </c>
      <c r="H15" s="58" t="s">
        <v>57</v>
      </c>
      <c r="I15" s="49"/>
    </row>
    <row r="16" customFormat="false" ht="15" hidden="false" customHeight="false" outlineLevel="0" collapsed="false">
      <c r="A16" s="48" t="s">
        <v>1125</v>
      </c>
      <c r="B16" s="48" t="s">
        <v>1094</v>
      </c>
      <c r="C16" s="48" t="s">
        <v>1126</v>
      </c>
      <c r="D16" s="48" t="s">
        <v>1127</v>
      </c>
      <c r="E16" s="69" t="s">
        <v>1086</v>
      </c>
      <c r="F16" s="48" t="s">
        <v>375</v>
      </c>
      <c r="G16" s="48" t="s">
        <v>436</v>
      </c>
      <c r="H16" s="58" t="s">
        <v>57</v>
      </c>
      <c r="I16" s="49"/>
    </row>
    <row r="17" customFormat="false" ht="15" hidden="false" customHeight="false" outlineLevel="0" collapsed="false">
      <c r="A17" s="48" t="s">
        <v>1128</v>
      </c>
      <c r="B17" s="48" t="s">
        <v>1129</v>
      </c>
      <c r="C17" s="48" t="s">
        <v>1130</v>
      </c>
      <c r="D17" s="48" t="s">
        <v>1131</v>
      </c>
      <c r="E17" s="71" t="s">
        <v>1123</v>
      </c>
      <c r="F17" s="48" t="s">
        <v>1132</v>
      </c>
      <c r="G17" s="48" t="s">
        <v>39</v>
      </c>
      <c r="H17" s="58" t="s">
        <v>57</v>
      </c>
      <c r="I17" s="49"/>
    </row>
    <row r="18" customFormat="false" ht="15" hidden="false" customHeight="false" outlineLevel="0" collapsed="false">
      <c r="A18" s="48" t="s">
        <v>1133</v>
      </c>
      <c r="B18" s="48" t="s">
        <v>1134</v>
      </c>
      <c r="C18" s="48" t="s">
        <v>1135</v>
      </c>
      <c r="D18" s="48" t="s">
        <v>1136</v>
      </c>
      <c r="E18" s="71" t="s">
        <v>1123</v>
      </c>
      <c r="F18" s="48" t="s">
        <v>1137</v>
      </c>
      <c r="G18" s="48" t="s">
        <v>39</v>
      </c>
      <c r="H18" s="58" t="s">
        <v>57</v>
      </c>
      <c r="I18" s="49"/>
    </row>
    <row r="19" customFormat="false" ht="15" hidden="false" customHeight="false" outlineLevel="0" collapsed="false">
      <c r="A19" s="48" t="s">
        <v>1138</v>
      </c>
      <c r="B19" s="48" t="s">
        <v>1139</v>
      </c>
      <c r="C19" s="48" t="s">
        <v>1140</v>
      </c>
      <c r="D19" s="48" t="s">
        <v>1141</v>
      </c>
      <c r="E19" s="69" t="s">
        <v>1086</v>
      </c>
      <c r="F19" s="48" t="s">
        <v>375</v>
      </c>
      <c r="G19" s="48" t="s">
        <v>39</v>
      </c>
      <c r="H19" s="58" t="s">
        <v>57</v>
      </c>
      <c r="I19" s="49"/>
    </row>
    <row r="20" customFormat="false" ht="15" hidden="false" customHeight="false" outlineLevel="0" collapsed="false">
      <c r="A20" s="48" t="s">
        <v>1142</v>
      </c>
      <c r="B20" s="48" t="s">
        <v>1143</v>
      </c>
      <c r="C20" s="48" t="s">
        <v>1144</v>
      </c>
      <c r="D20" s="48" t="s">
        <v>1145</v>
      </c>
      <c r="E20" s="69" t="s">
        <v>1086</v>
      </c>
      <c r="F20" s="48" t="s">
        <v>375</v>
      </c>
      <c r="G20" s="48" t="s">
        <v>39</v>
      </c>
      <c r="H20" s="58" t="s">
        <v>57</v>
      </c>
      <c r="I20" s="49"/>
    </row>
    <row r="21" customFormat="false" ht="15" hidden="false" customHeight="false" outlineLevel="0" collapsed="false">
      <c r="A21" s="48" t="s">
        <v>1146</v>
      </c>
      <c r="B21" s="48" t="s">
        <v>1147</v>
      </c>
      <c r="C21" s="48" t="s">
        <v>1148</v>
      </c>
      <c r="D21" s="48" t="s">
        <v>1149</v>
      </c>
      <c r="E21" s="70" t="s">
        <v>1111</v>
      </c>
      <c r="F21" s="48" t="s">
        <v>1150</v>
      </c>
      <c r="G21" s="48" t="s">
        <v>1026</v>
      </c>
      <c r="H21" s="58" t="s">
        <v>57</v>
      </c>
      <c r="I21" s="49"/>
    </row>
    <row r="22" customFormat="false" ht="15" hidden="false" customHeight="false" outlineLevel="0" collapsed="false">
      <c r="A22" s="48" t="s">
        <v>1151</v>
      </c>
      <c r="B22" s="48" t="s">
        <v>1152</v>
      </c>
      <c r="C22" s="48" t="s">
        <v>1153</v>
      </c>
      <c r="D22" s="48" t="s">
        <v>1154</v>
      </c>
      <c r="E22" s="71" t="s">
        <v>1123</v>
      </c>
      <c r="F22" s="48" t="s">
        <v>1155</v>
      </c>
      <c r="G22" s="48" t="s">
        <v>1156</v>
      </c>
      <c r="H22" s="58" t="s">
        <v>57</v>
      </c>
      <c r="I22" s="49"/>
    </row>
    <row r="23" customFormat="false" ht="15" hidden="false" customHeight="false" outlineLevel="0" collapsed="false">
      <c r="A23" s="48" t="s">
        <v>1157</v>
      </c>
      <c r="B23" s="48" t="s">
        <v>1158</v>
      </c>
      <c r="C23" s="48" t="s">
        <v>1159</v>
      </c>
      <c r="D23" s="48" t="s">
        <v>1160</v>
      </c>
      <c r="E23" s="71" t="s">
        <v>1123</v>
      </c>
      <c r="F23" s="48" t="s">
        <v>1161</v>
      </c>
      <c r="G23" s="48" t="s">
        <v>1162</v>
      </c>
      <c r="H23" s="58" t="s">
        <v>57</v>
      </c>
      <c r="I23" s="49"/>
    </row>
    <row r="24" customFormat="false" ht="15" hidden="false" customHeight="false" outlineLevel="0" collapsed="false">
      <c r="A24" s="48" t="s">
        <v>1163</v>
      </c>
      <c r="B24" s="48" t="s">
        <v>1164</v>
      </c>
      <c r="C24" s="48" t="s">
        <v>1165</v>
      </c>
      <c r="D24" s="48" t="s">
        <v>1166</v>
      </c>
      <c r="E24" s="71" t="s">
        <v>1123</v>
      </c>
      <c r="F24" s="48" t="s">
        <v>1167</v>
      </c>
      <c r="G24" s="48" t="s">
        <v>1168</v>
      </c>
      <c r="H24" s="58" t="s">
        <v>57</v>
      </c>
      <c r="I24" s="49"/>
    </row>
    <row r="25" customFormat="false" ht="15" hidden="false" customHeight="false" outlineLevel="0" collapsed="false">
      <c r="A25" s="48" t="s">
        <v>1169</v>
      </c>
      <c r="B25" s="48" t="s">
        <v>1170</v>
      </c>
      <c r="C25" s="48" t="s">
        <v>1171</v>
      </c>
      <c r="D25" s="48" t="s">
        <v>1172</v>
      </c>
      <c r="E25" s="71" t="s">
        <v>1123</v>
      </c>
      <c r="F25" s="48" t="s">
        <v>1173</v>
      </c>
      <c r="G25" s="48" t="s">
        <v>1174</v>
      </c>
      <c r="H25" s="58" t="s">
        <v>57</v>
      </c>
      <c r="I25" s="49"/>
    </row>
    <row r="26" customFormat="false" ht="15" hidden="false" customHeight="false" outlineLevel="0" collapsed="false">
      <c r="A26" s="48" t="s">
        <v>1175</v>
      </c>
      <c r="B26" s="48" t="s">
        <v>876</v>
      </c>
      <c r="C26" s="48" t="s">
        <v>1176</v>
      </c>
      <c r="D26" s="48" t="s">
        <v>1177</v>
      </c>
      <c r="E26" s="71" t="s">
        <v>1123</v>
      </c>
      <c r="F26" s="48" t="s">
        <v>1178</v>
      </c>
      <c r="G26" s="48" t="s">
        <v>1013</v>
      </c>
      <c r="H26" s="58" t="s">
        <v>57</v>
      </c>
      <c r="I26" s="49"/>
    </row>
    <row r="27" customFormat="false" ht="15" hidden="false" customHeight="false" outlineLevel="0" collapsed="false">
      <c r="A27" s="48" t="s">
        <v>1179</v>
      </c>
      <c r="B27" s="48" t="s">
        <v>1180</v>
      </c>
      <c r="C27" s="48" t="s">
        <v>1181</v>
      </c>
      <c r="D27" s="48" t="s">
        <v>1182</v>
      </c>
      <c r="E27" s="71" t="s">
        <v>1123</v>
      </c>
      <c r="F27" s="48" t="s">
        <v>1183</v>
      </c>
      <c r="G27" s="48" t="s">
        <v>528</v>
      </c>
      <c r="H27" s="58" t="s">
        <v>57</v>
      </c>
      <c r="I27" s="49"/>
    </row>
    <row r="28" customFormat="false" ht="15" hidden="false" customHeight="false" outlineLevel="0" collapsed="false">
      <c r="A28" s="48" t="s">
        <v>1184</v>
      </c>
      <c r="B28" s="48" t="s">
        <v>1185</v>
      </c>
      <c r="C28" s="48" t="s">
        <v>1186</v>
      </c>
      <c r="D28" s="48" t="s">
        <v>1187</v>
      </c>
      <c r="E28" s="71" t="s">
        <v>1123</v>
      </c>
      <c r="F28" s="48" t="s">
        <v>1188</v>
      </c>
      <c r="G28" s="48" t="s">
        <v>86</v>
      </c>
      <c r="H28" s="58" t="s">
        <v>57</v>
      </c>
      <c r="I28" s="49"/>
    </row>
    <row r="29" customFormat="false" ht="15" hidden="false" customHeight="false" outlineLevel="0" collapsed="false">
      <c r="A29" s="48" t="s">
        <v>1189</v>
      </c>
      <c r="B29" s="48" t="s">
        <v>1190</v>
      </c>
      <c r="C29" s="48" t="s">
        <v>1191</v>
      </c>
      <c r="D29" s="48" t="s">
        <v>1192</v>
      </c>
      <c r="E29" s="69" t="s">
        <v>1086</v>
      </c>
      <c r="F29" s="48" t="s">
        <v>375</v>
      </c>
      <c r="G29" s="48" t="s">
        <v>436</v>
      </c>
      <c r="H29" s="58" t="s">
        <v>57</v>
      </c>
      <c r="I29" s="49"/>
    </row>
    <row r="30" customFormat="false" ht="15" hidden="false" customHeight="false" outlineLevel="0" collapsed="false">
      <c r="A30" s="48" t="s">
        <v>1193</v>
      </c>
      <c r="B30" s="48" t="s">
        <v>1194</v>
      </c>
      <c r="C30" s="48" t="s">
        <v>1195</v>
      </c>
      <c r="D30" s="48" t="s">
        <v>1196</v>
      </c>
      <c r="E30" s="69" t="s">
        <v>1086</v>
      </c>
      <c r="F30" s="48" t="s">
        <v>375</v>
      </c>
      <c r="G30" s="48" t="s">
        <v>39</v>
      </c>
      <c r="H30" s="58" t="s">
        <v>57</v>
      </c>
      <c r="I30" s="49"/>
    </row>
    <row r="31" customFormat="false" ht="15" hidden="false" customHeight="false" outlineLevel="0" collapsed="false">
      <c r="A31" s="48" t="s">
        <v>1197</v>
      </c>
      <c r="B31" s="48" t="s">
        <v>1198</v>
      </c>
      <c r="C31" s="48" t="s">
        <v>1199</v>
      </c>
      <c r="D31" s="48" t="s">
        <v>1200</v>
      </c>
      <c r="E31" s="71" t="s">
        <v>1123</v>
      </c>
      <c r="F31" s="48" t="s">
        <v>1201</v>
      </c>
      <c r="G31" s="48" t="s">
        <v>567</v>
      </c>
      <c r="H31" s="58" t="s">
        <v>57</v>
      </c>
      <c r="I31" s="49"/>
    </row>
    <row r="32" customFormat="false" ht="15" hidden="false" customHeight="false" outlineLevel="0" collapsed="false">
      <c r="A32" s="48" t="s">
        <v>1202</v>
      </c>
      <c r="B32" s="48" t="s">
        <v>1203</v>
      </c>
      <c r="C32" s="48" t="s">
        <v>1204</v>
      </c>
      <c r="D32" s="48" t="s">
        <v>1205</v>
      </c>
      <c r="E32" s="71" t="s">
        <v>1123</v>
      </c>
      <c r="F32" s="48" t="s">
        <v>1206</v>
      </c>
      <c r="G32" s="48" t="s">
        <v>39</v>
      </c>
      <c r="H32" s="58" t="s">
        <v>57</v>
      </c>
      <c r="I32" s="49"/>
    </row>
    <row r="33" customFormat="false" ht="15" hidden="false" customHeight="false" outlineLevel="0" collapsed="false">
      <c r="A33" s="48" t="s">
        <v>1207</v>
      </c>
      <c r="B33" s="48" t="s">
        <v>1208</v>
      </c>
      <c r="C33" s="48" t="s">
        <v>1209</v>
      </c>
      <c r="D33" s="48" t="s">
        <v>1210</v>
      </c>
      <c r="E33" s="69" t="s">
        <v>1086</v>
      </c>
      <c r="F33" s="48" t="s">
        <v>375</v>
      </c>
      <c r="G33" s="48" t="s">
        <v>22</v>
      </c>
      <c r="H33" s="58" t="s">
        <v>57</v>
      </c>
      <c r="I33" s="49"/>
    </row>
    <row r="34" customFormat="false" ht="15" hidden="false" customHeight="false" outlineLevel="0" collapsed="false">
      <c r="A34" s="48" t="s">
        <v>1211</v>
      </c>
      <c r="B34" s="48" t="s">
        <v>1212</v>
      </c>
      <c r="C34" s="48" t="s">
        <v>1213</v>
      </c>
      <c r="D34" s="48" t="s">
        <v>1214</v>
      </c>
      <c r="E34" s="69" t="s">
        <v>1086</v>
      </c>
      <c r="F34" s="48" t="s">
        <v>375</v>
      </c>
      <c r="G34" s="48" t="s">
        <v>22</v>
      </c>
      <c r="H34" s="58" t="s">
        <v>57</v>
      </c>
      <c r="I34" s="49"/>
    </row>
    <row r="36" customFormat="false" ht="15" hidden="false" customHeight="false" outlineLevel="0" collapsed="false">
      <c r="A36" s="46" t="s">
        <v>1215</v>
      </c>
    </row>
    <row r="37" customFormat="false" ht="15" hidden="false" customHeight="false" outlineLevel="0" collapsed="false">
      <c r="C37" s="28" t="s">
        <v>1216</v>
      </c>
    </row>
    <row r="38" customFormat="false" ht="15" hidden="false" customHeight="false" outlineLevel="0" collapsed="false">
      <c r="C38" s="28" t="s">
        <v>1217</v>
      </c>
    </row>
    <row r="39" customFormat="false" ht="15" hidden="false" customHeight="false" outlineLevel="0" collapsed="false">
      <c r="C39" s="28" t="s">
        <v>1218</v>
      </c>
    </row>
    <row r="40" customFormat="false" ht="15" hidden="false" customHeight="false" outlineLevel="0" collapsed="false">
      <c r="C40" s="28" t="s">
        <v>1219</v>
      </c>
    </row>
    <row r="41" customFormat="false" ht="15" hidden="false" customHeight="false" outlineLevel="0" collapsed="false">
      <c r="C41" s="28" t="s">
        <v>1220</v>
      </c>
    </row>
  </sheetData>
  <autoFilter ref="A4:I34"/>
  <conditionalFormatting sqref="H5:H234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H5:H23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1221</v>
      </c>
    </row>
    <row r="2" customFormat="false" ht="15" hidden="false" customHeight="false" outlineLevel="0" collapsed="false">
      <c r="A2" s="38" t="s">
        <v>1222</v>
      </c>
    </row>
    <row r="4" customFormat="false" ht="30" hidden="false" customHeight="true" outlineLevel="0" collapsed="false">
      <c r="A4" s="47" t="s">
        <v>1223</v>
      </c>
      <c r="B4" s="47" t="s">
        <v>1224</v>
      </c>
      <c r="C4" s="47" t="s">
        <v>1225</v>
      </c>
      <c r="D4" s="47" t="s">
        <v>1226</v>
      </c>
      <c r="E4" s="47" t="s">
        <v>1227</v>
      </c>
      <c r="F4" s="47" t="s">
        <v>1228</v>
      </c>
      <c r="G4" s="47" t="s">
        <v>900</v>
      </c>
      <c r="H4" s="47" t="s">
        <v>7</v>
      </c>
    </row>
    <row r="5" customFormat="false" ht="22.35" hidden="false" customHeight="false" outlineLevel="0" collapsed="false">
      <c r="A5" s="48" t="s">
        <v>1229</v>
      </c>
      <c r="B5" s="48" t="s">
        <v>1230</v>
      </c>
      <c r="C5" s="48" t="s">
        <v>1231</v>
      </c>
      <c r="D5" s="48" t="s">
        <v>1232</v>
      </c>
      <c r="E5" s="48" t="s">
        <v>1233</v>
      </c>
      <c r="F5" s="48" t="s">
        <v>1234</v>
      </c>
      <c r="G5" s="48" t="s">
        <v>1235</v>
      </c>
      <c r="H5" s="58" t="s">
        <v>57</v>
      </c>
    </row>
    <row r="6" customFormat="false" ht="22.35" hidden="false" customHeight="false" outlineLevel="0" collapsed="false">
      <c r="A6" s="48" t="s">
        <v>1236</v>
      </c>
      <c r="B6" s="48" t="s">
        <v>1237</v>
      </c>
      <c r="C6" s="48" t="s">
        <v>1238</v>
      </c>
      <c r="D6" s="48" t="s">
        <v>1239</v>
      </c>
      <c r="E6" s="48" t="s">
        <v>1240</v>
      </c>
      <c r="F6" s="48" t="s">
        <v>1241</v>
      </c>
      <c r="G6" s="48" t="s">
        <v>1242</v>
      </c>
      <c r="H6" s="58" t="s">
        <v>57</v>
      </c>
    </row>
    <row r="7" customFormat="false" ht="22.35" hidden="false" customHeight="false" outlineLevel="0" collapsed="false">
      <c r="A7" s="48" t="s">
        <v>1243</v>
      </c>
      <c r="B7" s="48" t="s">
        <v>1244</v>
      </c>
      <c r="C7" s="48" t="s">
        <v>1245</v>
      </c>
      <c r="D7" s="48" t="s">
        <v>1246</v>
      </c>
      <c r="E7" s="48" t="s">
        <v>1247</v>
      </c>
      <c r="F7" s="48" t="s">
        <v>1248</v>
      </c>
      <c r="G7" s="48" t="s">
        <v>1249</v>
      </c>
      <c r="H7" s="58" t="s">
        <v>57</v>
      </c>
    </row>
    <row r="8" customFormat="false" ht="22.35" hidden="false" customHeight="false" outlineLevel="0" collapsed="false">
      <c r="A8" s="48" t="s">
        <v>1250</v>
      </c>
      <c r="B8" s="48" t="s">
        <v>1251</v>
      </c>
      <c r="C8" s="48" t="s">
        <v>1252</v>
      </c>
      <c r="D8" s="48" t="s">
        <v>1253</v>
      </c>
      <c r="E8" s="48" t="s">
        <v>1254</v>
      </c>
      <c r="F8" s="48" t="s">
        <v>1255</v>
      </c>
      <c r="G8" s="48" t="s">
        <v>1256</v>
      </c>
      <c r="H8" s="58" t="s">
        <v>57</v>
      </c>
    </row>
    <row r="9" customFormat="false" ht="22.35" hidden="false" customHeight="false" outlineLevel="0" collapsed="false">
      <c r="A9" s="48" t="s">
        <v>1257</v>
      </c>
      <c r="B9" s="48" t="s">
        <v>1258</v>
      </c>
      <c r="C9" s="48" t="s">
        <v>1259</v>
      </c>
      <c r="D9" s="48" t="s">
        <v>1260</v>
      </c>
      <c r="E9" s="48" t="s">
        <v>1261</v>
      </c>
      <c r="F9" s="48" t="s">
        <v>1262</v>
      </c>
      <c r="G9" s="48" t="s">
        <v>1263</v>
      </c>
      <c r="H9" s="58" t="s">
        <v>57</v>
      </c>
    </row>
    <row r="10" customFormat="false" ht="22.35" hidden="false" customHeight="false" outlineLevel="0" collapsed="false">
      <c r="A10" s="48" t="s">
        <v>1264</v>
      </c>
      <c r="B10" s="48" t="s">
        <v>1265</v>
      </c>
      <c r="C10" s="48" t="s">
        <v>1266</v>
      </c>
      <c r="D10" s="48" t="s">
        <v>1267</v>
      </c>
      <c r="E10" s="48" t="s">
        <v>1268</v>
      </c>
      <c r="F10" s="48" t="s">
        <v>1269</v>
      </c>
      <c r="G10" s="48" t="s">
        <v>1107</v>
      </c>
      <c r="H10" s="58" t="s">
        <v>57</v>
      </c>
    </row>
    <row r="11" customFormat="false" ht="22.35" hidden="false" customHeight="false" outlineLevel="0" collapsed="false">
      <c r="A11" s="48" t="s">
        <v>1270</v>
      </c>
      <c r="B11" s="48" t="s">
        <v>1271</v>
      </c>
      <c r="C11" s="48" t="s">
        <v>1272</v>
      </c>
      <c r="D11" s="48" t="s">
        <v>1273</v>
      </c>
      <c r="E11" s="48" t="s">
        <v>1274</v>
      </c>
      <c r="F11" s="48" t="s">
        <v>1275</v>
      </c>
      <c r="G11" s="48" t="s">
        <v>528</v>
      </c>
      <c r="H11" s="58" t="s">
        <v>57</v>
      </c>
    </row>
    <row r="12" customFormat="false" ht="22.35" hidden="false" customHeight="false" outlineLevel="0" collapsed="false">
      <c r="A12" s="48" t="s">
        <v>1180</v>
      </c>
      <c r="B12" s="48" t="s">
        <v>1276</v>
      </c>
      <c r="C12" s="48" t="s">
        <v>1277</v>
      </c>
      <c r="D12" s="48" t="s">
        <v>1278</v>
      </c>
      <c r="E12" s="48" t="s">
        <v>1279</v>
      </c>
      <c r="F12" s="48" t="s">
        <v>1280</v>
      </c>
      <c r="G12" s="48" t="s">
        <v>1281</v>
      </c>
      <c r="H12" s="58" t="s">
        <v>57</v>
      </c>
    </row>
    <row r="13" customFormat="false" ht="32.8" hidden="false" customHeight="false" outlineLevel="0" collapsed="false">
      <c r="A13" s="48" t="s">
        <v>1282</v>
      </c>
      <c r="B13" s="48" t="s">
        <v>1283</v>
      </c>
      <c r="C13" s="48" t="s">
        <v>1284</v>
      </c>
      <c r="D13" s="48" t="s">
        <v>1285</v>
      </c>
      <c r="E13" s="48" t="s">
        <v>1286</v>
      </c>
      <c r="F13" s="48" t="s">
        <v>1287</v>
      </c>
      <c r="G13" s="48" t="s">
        <v>1288</v>
      </c>
      <c r="H13" s="58" t="s">
        <v>57</v>
      </c>
    </row>
    <row r="14" customFormat="false" ht="32.8" hidden="false" customHeight="false" outlineLevel="0" collapsed="false">
      <c r="A14" s="48" t="s">
        <v>1289</v>
      </c>
      <c r="B14" s="48" t="s">
        <v>1290</v>
      </c>
      <c r="C14" s="48" t="s">
        <v>1291</v>
      </c>
      <c r="D14" s="48" t="s">
        <v>1292</v>
      </c>
      <c r="E14" s="48" t="s">
        <v>1293</v>
      </c>
      <c r="F14" s="48" t="s">
        <v>1294</v>
      </c>
      <c r="G14" s="48" t="s">
        <v>1295</v>
      </c>
      <c r="H14" s="58" t="s">
        <v>57</v>
      </c>
    </row>
    <row r="15" customFormat="false" ht="15" hidden="false" customHeight="false" outlineLevel="0" collapsed="false">
      <c r="A15" s="48" t="s">
        <v>1296</v>
      </c>
      <c r="B15" s="48" t="s">
        <v>1297</v>
      </c>
      <c r="C15" s="48" t="s">
        <v>1298</v>
      </c>
      <c r="D15" s="48" t="s">
        <v>1299</v>
      </c>
      <c r="E15" s="48" t="s">
        <v>1300</v>
      </c>
      <c r="F15" s="48" t="s">
        <v>1301</v>
      </c>
      <c r="G15" s="48" t="s">
        <v>1302</v>
      </c>
      <c r="H15" s="58" t="s">
        <v>57</v>
      </c>
    </row>
    <row r="16" customFormat="false" ht="15" hidden="false" customHeight="false" outlineLevel="0" collapsed="false">
      <c r="A16" s="48" t="s">
        <v>1303</v>
      </c>
      <c r="B16" s="48" t="s">
        <v>1304</v>
      </c>
      <c r="C16" s="48" t="s">
        <v>1305</v>
      </c>
      <c r="D16" s="48" t="s">
        <v>1306</v>
      </c>
      <c r="E16" s="48" t="s">
        <v>1307</v>
      </c>
      <c r="F16" s="48" t="s">
        <v>1308</v>
      </c>
      <c r="G16" s="48" t="s">
        <v>1309</v>
      </c>
      <c r="H16" s="58" t="s">
        <v>57</v>
      </c>
    </row>
    <row r="17" customFormat="false" ht="15" hidden="false" customHeight="false" outlineLevel="0" collapsed="false">
      <c r="A17" s="48" t="s">
        <v>1310</v>
      </c>
      <c r="B17" s="48" t="s">
        <v>1311</v>
      </c>
      <c r="C17" s="48" t="s">
        <v>1312</v>
      </c>
      <c r="D17" s="48" t="s">
        <v>1313</v>
      </c>
      <c r="E17" s="48" t="s">
        <v>1314</v>
      </c>
      <c r="F17" s="48" t="s">
        <v>1315</v>
      </c>
      <c r="G17" s="48" t="s">
        <v>1316</v>
      </c>
      <c r="H17" s="58" t="s">
        <v>57</v>
      </c>
    </row>
  </sheetData>
  <autoFilter ref="A4:H17"/>
  <conditionalFormatting sqref="H5:H217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H5:H217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90"/>
    <col collapsed="false" customWidth="true" hidden="false" outlineLevel="0" max="4" min="4" style="0" width="13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1317</v>
      </c>
    </row>
    <row r="2" customFormat="false" ht="15" hidden="false" customHeight="false" outlineLevel="0" collapsed="false">
      <c r="A2" s="38" t="s">
        <v>1318</v>
      </c>
    </row>
    <row r="4" customFormat="false" ht="30" hidden="false" customHeight="true" outlineLevel="0" collapsed="false">
      <c r="A4" s="47" t="s">
        <v>1319</v>
      </c>
      <c r="B4" s="47" t="s">
        <v>1</v>
      </c>
      <c r="C4" s="47" t="s">
        <v>1320</v>
      </c>
      <c r="D4" s="47" t="s">
        <v>1321</v>
      </c>
      <c r="E4" s="47" t="s">
        <v>1322</v>
      </c>
      <c r="F4" s="47" t="s">
        <v>1323</v>
      </c>
      <c r="G4" s="47" t="s">
        <v>7</v>
      </c>
    </row>
    <row r="5" customFormat="false" ht="22.35" hidden="false" customHeight="false" outlineLevel="0" collapsed="false">
      <c r="A5" s="48" t="s">
        <v>1324</v>
      </c>
      <c r="B5" s="48" t="s">
        <v>1325</v>
      </c>
      <c r="C5" s="48" t="s">
        <v>1326</v>
      </c>
      <c r="D5" s="49"/>
      <c r="E5" s="49"/>
      <c r="F5" s="49"/>
      <c r="G5" s="58" t="s">
        <v>57</v>
      </c>
    </row>
    <row r="6" customFormat="false" ht="15" hidden="false" customHeight="false" outlineLevel="0" collapsed="false">
      <c r="A6" s="48" t="s">
        <v>1324</v>
      </c>
      <c r="B6" s="48" t="s">
        <v>1327</v>
      </c>
      <c r="C6" s="48" t="s">
        <v>1328</v>
      </c>
      <c r="D6" s="49"/>
      <c r="E6" s="49"/>
      <c r="F6" s="49"/>
      <c r="G6" s="58" t="s">
        <v>57</v>
      </c>
    </row>
    <row r="7" customFormat="false" ht="15" hidden="false" customHeight="false" outlineLevel="0" collapsed="false">
      <c r="A7" s="48" t="s">
        <v>1324</v>
      </c>
      <c r="B7" s="48" t="s">
        <v>1329</v>
      </c>
      <c r="C7" s="48" t="s">
        <v>1330</v>
      </c>
      <c r="D7" s="49"/>
      <c r="E7" s="49"/>
      <c r="F7" s="49"/>
      <c r="G7" s="58" t="s">
        <v>57</v>
      </c>
    </row>
    <row r="8" customFormat="false" ht="15" hidden="false" customHeight="false" outlineLevel="0" collapsed="false">
      <c r="A8" s="48" t="s">
        <v>1324</v>
      </c>
      <c r="B8" s="48" t="s">
        <v>1331</v>
      </c>
      <c r="C8" s="48" t="s">
        <v>1332</v>
      </c>
      <c r="D8" s="49"/>
      <c r="E8" s="49"/>
      <c r="F8" s="49"/>
      <c r="G8" s="58" t="s">
        <v>57</v>
      </c>
    </row>
    <row r="9" customFormat="false" ht="15" hidden="false" customHeight="false" outlineLevel="0" collapsed="false">
      <c r="A9" s="48" t="s">
        <v>1324</v>
      </c>
      <c r="B9" s="48" t="s">
        <v>1333</v>
      </c>
      <c r="C9" s="48" t="s">
        <v>1334</v>
      </c>
      <c r="D9" s="49"/>
      <c r="E9" s="49"/>
      <c r="F9" s="49"/>
      <c r="G9" s="58" t="s">
        <v>57</v>
      </c>
    </row>
    <row r="10" customFormat="false" ht="15" hidden="false" customHeight="false" outlineLevel="0" collapsed="false">
      <c r="A10" s="48" t="s">
        <v>1324</v>
      </c>
      <c r="B10" s="48" t="s">
        <v>1335</v>
      </c>
      <c r="C10" s="48" t="s">
        <v>1336</v>
      </c>
      <c r="D10" s="49"/>
      <c r="E10" s="49"/>
      <c r="F10" s="49"/>
      <c r="G10" s="58" t="s">
        <v>57</v>
      </c>
    </row>
    <row r="11" customFormat="false" ht="15" hidden="false" customHeight="false" outlineLevel="0" collapsed="false">
      <c r="A11" s="48" t="s">
        <v>1324</v>
      </c>
      <c r="B11" s="48" t="s">
        <v>1337</v>
      </c>
      <c r="C11" s="48" t="s">
        <v>1338</v>
      </c>
      <c r="D11" s="49"/>
      <c r="E11" s="49"/>
      <c r="F11" s="49"/>
      <c r="G11" s="58" t="s">
        <v>57</v>
      </c>
    </row>
    <row r="12" customFormat="false" ht="15" hidden="false" customHeight="false" outlineLevel="0" collapsed="false">
      <c r="A12" s="48" t="s">
        <v>1339</v>
      </c>
      <c r="B12" s="48" t="s">
        <v>1340</v>
      </c>
      <c r="C12" s="48" t="s">
        <v>1341</v>
      </c>
      <c r="D12" s="49"/>
      <c r="E12" s="49"/>
      <c r="F12" s="49"/>
      <c r="G12" s="58" t="s">
        <v>57</v>
      </c>
    </row>
    <row r="13" customFormat="false" ht="15" hidden="false" customHeight="false" outlineLevel="0" collapsed="false">
      <c r="A13" s="48" t="s">
        <v>1339</v>
      </c>
      <c r="B13" s="48" t="s">
        <v>1342</v>
      </c>
      <c r="C13" s="48" t="s">
        <v>1343</v>
      </c>
      <c r="D13" s="49"/>
      <c r="E13" s="49"/>
      <c r="F13" s="49"/>
      <c r="G13" s="58" t="s">
        <v>57</v>
      </c>
    </row>
    <row r="14" customFormat="false" ht="15" hidden="false" customHeight="false" outlineLevel="0" collapsed="false">
      <c r="A14" s="48" t="s">
        <v>1339</v>
      </c>
      <c r="B14" s="48" t="s">
        <v>1344</v>
      </c>
      <c r="C14" s="48" t="s">
        <v>1345</v>
      </c>
      <c r="D14" s="49"/>
      <c r="E14" s="49"/>
      <c r="F14" s="49"/>
      <c r="G14" s="58" t="s">
        <v>57</v>
      </c>
    </row>
    <row r="15" customFormat="false" ht="15" hidden="false" customHeight="false" outlineLevel="0" collapsed="false">
      <c r="A15" s="48" t="s">
        <v>1339</v>
      </c>
      <c r="B15" s="48" t="s">
        <v>1346</v>
      </c>
      <c r="C15" s="48" t="s">
        <v>1347</v>
      </c>
      <c r="D15" s="49"/>
      <c r="E15" s="49"/>
      <c r="F15" s="49"/>
      <c r="G15" s="58" t="s">
        <v>57</v>
      </c>
    </row>
    <row r="16" customFormat="false" ht="15" hidden="false" customHeight="false" outlineLevel="0" collapsed="false">
      <c r="A16" s="48" t="s">
        <v>1180</v>
      </c>
      <c r="B16" s="48" t="s">
        <v>1348</v>
      </c>
      <c r="C16" s="48" t="s">
        <v>1349</v>
      </c>
      <c r="D16" s="49"/>
      <c r="E16" s="49"/>
      <c r="F16" s="49"/>
      <c r="G16" s="58" t="s">
        <v>57</v>
      </c>
    </row>
    <row r="17" customFormat="false" ht="15" hidden="false" customHeight="false" outlineLevel="0" collapsed="false">
      <c r="A17" s="48" t="s">
        <v>1180</v>
      </c>
      <c r="B17" s="48" t="s">
        <v>1350</v>
      </c>
      <c r="C17" s="48" t="s">
        <v>1351</v>
      </c>
      <c r="D17" s="49"/>
      <c r="E17" s="49"/>
      <c r="F17" s="49"/>
      <c r="G17" s="58" t="s">
        <v>57</v>
      </c>
    </row>
    <row r="18" customFormat="false" ht="15" hidden="false" customHeight="false" outlineLevel="0" collapsed="false">
      <c r="A18" s="48" t="s">
        <v>1180</v>
      </c>
      <c r="B18" s="48" t="s">
        <v>1352</v>
      </c>
      <c r="C18" s="48" t="s">
        <v>1353</v>
      </c>
      <c r="D18" s="49"/>
      <c r="E18" s="49"/>
      <c r="F18" s="49"/>
      <c r="G18" s="58" t="s">
        <v>57</v>
      </c>
    </row>
    <row r="19" customFormat="false" ht="22.35" hidden="false" customHeight="false" outlineLevel="0" collapsed="false">
      <c r="A19" s="48" t="s">
        <v>1180</v>
      </c>
      <c r="B19" s="48" t="s">
        <v>1354</v>
      </c>
      <c r="C19" s="48" t="s">
        <v>1355</v>
      </c>
      <c r="D19" s="49"/>
      <c r="E19" s="49"/>
      <c r="F19" s="49"/>
      <c r="G19" s="58" t="s">
        <v>57</v>
      </c>
    </row>
    <row r="20" customFormat="false" ht="15" hidden="false" customHeight="false" outlineLevel="0" collapsed="false">
      <c r="A20" s="48" t="s">
        <v>1180</v>
      </c>
      <c r="B20" s="48" t="s">
        <v>1356</v>
      </c>
      <c r="C20" s="48" t="s">
        <v>1357</v>
      </c>
      <c r="D20" s="49"/>
      <c r="E20" s="49"/>
      <c r="F20" s="49"/>
      <c r="G20" s="58" t="s">
        <v>57</v>
      </c>
    </row>
    <row r="21" customFormat="false" ht="22.35" hidden="false" customHeight="false" outlineLevel="0" collapsed="false">
      <c r="A21" s="48" t="s">
        <v>1358</v>
      </c>
      <c r="B21" s="48" t="s">
        <v>1359</v>
      </c>
      <c r="C21" s="48" t="s">
        <v>1360</v>
      </c>
      <c r="D21" s="49"/>
      <c r="E21" s="49"/>
      <c r="F21" s="49"/>
      <c r="G21" s="58" t="s">
        <v>57</v>
      </c>
    </row>
    <row r="22" customFormat="false" ht="15" hidden="false" customHeight="false" outlineLevel="0" collapsed="false">
      <c r="A22" s="48" t="s">
        <v>1358</v>
      </c>
      <c r="B22" s="48" t="s">
        <v>1361</v>
      </c>
      <c r="C22" s="48" t="s">
        <v>1362</v>
      </c>
      <c r="D22" s="49"/>
      <c r="E22" s="49"/>
      <c r="F22" s="49"/>
      <c r="G22" s="58" t="s">
        <v>57</v>
      </c>
    </row>
    <row r="23" customFormat="false" ht="15" hidden="false" customHeight="false" outlineLevel="0" collapsed="false">
      <c r="A23" s="48" t="s">
        <v>1358</v>
      </c>
      <c r="B23" s="48" t="s">
        <v>1363</v>
      </c>
      <c r="C23" s="48" t="s">
        <v>1364</v>
      </c>
      <c r="D23" s="49"/>
      <c r="E23" s="49"/>
      <c r="F23" s="49"/>
      <c r="G23" s="58" t="s">
        <v>57</v>
      </c>
    </row>
    <row r="24" customFormat="false" ht="15" hidden="false" customHeight="false" outlineLevel="0" collapsed="false">
      <c r="A24" s="48" t="s">
        <v>1358</v>
      </c>
      <c r="B24" s="48" t="s">
        <v>1365</v>
      </c>
      <c r="C24" s="48" t="s">
        <v>1366</v>
      </c>
      <c r="D24" s="49"/>
      <c r="E24" s="49"/>
      <c r="F24" s="49"/>
      <c r="G24" s="58" t="s">
        <v>57</v>
      </c>
    </row>
    <row r="25" customFormat="false" ht="15" hidden="false" customHeight="false" outlineLevel="0" collapsed="false">
      <c r="A25" s="48" t="s">
        <v>1358</v>
      </c>
      <c r="B25" s="48" t="s">
        <v>1367</v>
      </c>
      <c r="C25" s="48" t="s">
        <v>1368</v>
      </c>
      <c r="D25" s="49"/>
      <c r="E25" s="49"/>
      <c r="F25" s="49"/>
      <c r="G25" s="58" t="s">
        <v>57</v>
      </c>
    </row>
    <row r="26" customFormat="false" ht="15" hidden="false" customHeight="false" outlineLevel="0" collapsed="false">
      <c r="A26" s="48" t="s">
        <v>1358</v>
      </c>
      <c r="B26" s="48" t="s">
        <v>1369</v>
      </c>
      <c r="C26" s="48" t="s">
        <v>1370</v>
      </c>
      <c r="D26" s="49"/>
      <c r="E26" s="49"/>
      <c r="F26" s="49"/>
      <c r="G26" s="58" t="s">
        <v>57</v>
      </c>
    </row>
    <row r="28" customFormat="false" ht="15" hidden="false" customHeight="false" outlineLevel="0" collapsed="false">
      <c r="A28" s="72" t="s">
        <v>1371</v>
      </c>
    </row>
    <row r="29" customFormat="false" ht="15" hidden="false" customHeight="false" outlineLevel="0" collapsed="false">
      <c r="A29" s="73" t="s">
        <v>1324</v>
      </c>
      <c r="C29" s="74" t="s">
        <v>1372</v>
      </c>
    </row>
    <row r="30" customFormat="false" ht="315" hidden="false" customHeight="true" outlineLevel="0" collapsed="false">
      <c r="C30" s="75" t="s">
        <v>1373</v>
      </c>
    </row>
    <row r="32" customFormat="false" ht="15" hidden="false" customHeight="false" outlineLevel="0" collapsed="false">
      <c r="A32" s="73" t="s">
        <v>1339</v>
      </c>
      <c r="C32" s="74" t="s">
        <v>1374</v>
      </c>
    </row>
    <row r="33" customFormat="false" ht="225" hidden="false" customHeight="true" outlineLevel="0" collapsed="false">
      <c r="C33" s="75" t="s">
        <v>1375</v>
      </c>
    </row>
    <row r="35" customFormat="false" ht="15" hidden="false" customHeight="false" outlineLevel="0" collapsed="false">
      <c r="A35" s="73" t="s">
        <v>1180</v>
      </c>
      <c r="C35" s="74" t="s">
        <v>1376</v>
      </c>
    </row>
    <row r="36" customFormat="false" ht="240" hidden="false" customHeight="true" outlineLevel="0" collapsed="false">
      <c r="C36" s="75" t="s">
        <v>1377</v>
      </c>
    </row>
    <row r="38" customFormat="false" ht="15" hidden="false" customHeight="false" outlineLevel="0" collapsed="false">
      <c r="A38" s="73" t="s">
        <v>1358</v>
      </c>
      <c r="C38" s="74" t="s">
        <v>1378</v>
      </c>
    </row>
    <row r="39" customFormat="false" ht="255" hidden="false" customHeight="true" outlineLevel="0" collapsed="false">
      <c r="C39" s="75" t="s">
        <v>1379</v>
      </c>
    </row>
  </sheetData>
  <autoFilter ref="A4:G26"/>
  <conditionalFormatting sqref="G5:G226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2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00"/>
  </cols>
  <sheetData>
    <row r="1" customFormat="false" ht="24" hidden="false" customHeight="true" outlineLevel="0" collapsed="false">
      <c r="A1" s="1" t="s">
        <v>1380</v>
      </c>
    </row>
    <row r="2" customFormat="false" ht="15" hidden="false" customHeight="false" outlineLevel="0" collapsed="false">
      <c r="A2" s="38" t="s">
        <v>1381</v>
      </c>
    </row>
    <row r="4" customFormat="false" ht="30" hidden="false" customHeight="true" outlineLevel="0" collapsed="false">
      <c r="A4" s="47" t="s">
        <v>898</v>
      </c>
      <c r="B4" s="47" t="s">
        <v>1382</v>
      </c>
      <c r="C4" s="47" t="s">
        <v>1383</v>
      </c>
      <c r="D4" s="47" t="s">
        <v>1384</v>
      </c>
    </row>
    <row r="5" customFormat="false" ht="15" hidden="false" customHeight="false" outlineLevel="0" collapsed="false">
      <c r="A5" s="48" t="s">
        <v>1385</v>
      </c>
      <c r="B5" s="48" t="s">
        <v>1386</v>
      </c>
      <c r="C5" s="48" t="s">
        <v>1387</v>
      </c>
      <c r="D5" s="48" t="s">
        <v>1388</v>
      </c>
    </row>
    <row r="6" customFormat="false" ht="15" hidden="false" customHeight="false" outlineLevel="0" collapsed="false">
      <c r="A6" s="48" t="s">
        <v>1389</v>
      </c>
      <c r="B6" s="48" t="s">
        <v>1390</v>
      </c>
      <c r="C6" s="48" t="s">
        <v>1391</v>
      </c>
      <c r="D6" s="48" t="s">
        <v>1392</v>
      </c>
    </row>
    <row r="7" customFormat="false" ht="15" hidden="false" customHeight="false" outlineLevel="0" collapsed="false">
      <c r="A7" s="48" t="s">
        <v>1393</v>
      </c>
      <c r="B7" s="48" t="s">
        <v>1394</v>
      </c>
      <c r="C7" s="48" t="s">
        <v>1395</v>
      </c>
      <c r="D7" s="48" t="s">
        <v>1396</v>
      </c>
    </row>
    <row r="8" customFormat="false" ht="15" hidden="false" customHeight="false" outlineLevel="0" collapsed="false">
      <c r="A8" s="48" t="s">
        <v>1397</v>
      </c>
      <c r="B8" s="48" t="s">
        <v>1398</v>
      </c>
      <c r="C8" s="48" t="s">
        <v>1399</v>
      </c>
      <c r="D8" s="48" t="s">
        <v>1400</v>
      </c>
    </row>
    <row r="9" customFormat="false" ht="15" hidden="false" customHeight="false" outlineLevel="0" collapsed="false">
      <c r="A9" s="48" t="s">
        <v>1401</v>
      </c>
      <c r="B9" s="48" t="s">
        <v>1402</v>
      </c>
      <c r="C9" s="48" t="s">
        <v>1403</v>
      </c>
      <c r="D9" s="48" t="s">
        <v>1404</v>
      </c>
    </row>
    <row r="10" customFormat="false" ht="15" hidden="false" customHeight="false" outlineLevel="0" collapsed="false">
      <c r="B10" s="46" t="s">
        <v>1405</v>
      </c>
    </row>
    <row r="11" customFormat="false" ht="15" hidden="false" customHeight="false" outlineLevel="0" collapsed="false">
      <c r="B11" s="28" t="s">
        <v>1406</v>
      </c>
    </row>
    <row r="12" customFormat="false" ht="15" hidden="false" customHeight="false" outlineLevel="0" collapsed="false">
      <c r="B12" s="28" t="s">
        <v>1407</v>
      </c>
    </row>
    <row r="13" customFormat="false" ht="15" hidden="false" customHeight="false" outlineLevel="0" collapsed="false">
      <c r="B13" s="28" t="s">
        <v>1408</v>
      </c>
    </row>
    <row r="14" customFormat="false" ht="15" hidden="false" customHeight="false" outlineLevel="0" collapsed="false">
      <c r="B14" s="28" t="s">
        <v>1409</v>
      </c>
    </row>
    <row r="15" customFormat="false" ht="15" hidden="false" customHeight="false" outlineLevel="0" collapsed="false">
      <c r="B15" s="28" t="s">
        <v>1410</v>
      </c>
    </row>
  </sheetData>
  <autoFilter ref="A4:D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90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1411</v>
      </c>
    </row>
    <row r="2" customFormat="false" ht="15" hidden="false" customHeight="false" outlineLevel="0" collapsed="false">
      <c r="A2" s="38" t="s">
        <v>1412</v>
      </c>
    </row>
    <row r="4" customFormat="false" ht="30" hidden="false" customHeight="true" outlineLevel="0" collapsed="false">
      <c r="A4" s="47" t="s">
        <v>1413</v>
      </c>
      <c r="B4" s="47" t="s">
        <v>1414</v>
      </c>
      <c r="C4" s="47" t="s">
        <v>1415</v>
      </c>
      <c r="D4" s="47" t="s">
        <v>1416</v>
      </c>
      <c r="E4" s="47" t="s">
        <v>1417</v>
      </c>
    </row>
    <row r="5" customFormat="false" ht="22.35" hidden="false" customHeight="false" outlineLevel="0" collapsed="false">
      <c r="A5" s="48" t="s">
        <v>26</v>
      </c>
      <c r="B5" s="48" t="s">
        <v>1418</v>
      </c>
      <c r="C5" s="48" t="s">
        <v>1419</v>
      </c>
      <c r="D5" s="48" t="s">
        <v>1420</v>
      </c>
      <c r="E5" s="48" t="s">
        <v>1421</v>
      </c>
    </row>
    <row r="6" customFormat="false" ht="22.35" hidden="false" customHeight="false" outlineLevel="0" collapsed="false">
      <c r="A6" s="48" t="s">
        <v>491</v>
      </c>
      <c r="B6" s="48" t="s">
        <v>1422</v>
      </c>
      <c r="C6" s="48" t="s">
        <v>1423</v>
      </c>
      <c r="D6" s="48" t="s">
        <v>1424</v>
      </c>
      <c r="E6" s="48" t="s">
        <v>1425</v>
      </c>
    </row>
    <row r="7" customFormat="false" ht="22.35" hidden="false" customHeight="false" outlineLevel="0" collapsed="false">
      <c r="A7" s="48" t="s">
        <v>1426</v>
      </c>
      <c r="B7" s="48" t="s">
        <v>1427</v>
      </c>
      <c r="C7" s="48" t="s">
        <v>1428</v>
      </c>
      <c r="D7" s="48" t="s">
        <v>1429</v>
      </c>
      <c r="E7" s="48" t="s">
        <v>1430</v>
      </c>
    </row>
    <row r="8" customFormat="false" ht="15" hidden="false" customHeight="false" outlineLevel="0" collapsed="false">
      <c r="A8" s="48" t="s">
        <v>1431</v>
      </c>
      <c r="B8" s="48" t="s">
        <v>1432</v>
      </c>
      <c r="C8" s="48" t="s">
        <v>1433</v>
      </c>
      <c r="D8" s="48" t="s">
        <v>1434</v>
      </c>
      <c r="E8" s="48" t="s">
        <v>1435</v>
      </c>
    </row>
  </sheetData>
  <autoFilter ref="A4:E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1436</v>
      </c>
    </row>
    <row r="2" customFormat="false" ht="15" hidden="false" customHeight="false" outlineLevel="0" collapsed="false">
      <c r="A2" s="38" t="s">
        <v>1437</v>
      </c>
    </row>
    <row r="4" customFormat="false" ht="30" hidden="false" customHeight="true" outlineLevel="0" collapsed="false">
      <c r="A4" s="47" t="s">
        <v>1438</v>
      </c>
      <c r="B4" s="47" t="s">
        <v>1439</v>
      </c>
      <c r="C4" s="47" t="s">
        <v>1440</v>
      </c>
      <c r="D4" s="47" t="s">
        <v>1441</v>
      </c>
      <c r="E4" s="47" t="s">
        <v>1442</v>
      </c>
      <c r="F4" s="47" t="s">
        <v>417</v>
      </c>
      <c r="G4" s="47" t="s">
        <v>7</v>
      </c>
    </row>
    <row r="5" customFormat="false" ht="32.8" hidden="false" customHeight="false" outlineLevel="0" collapsed="false">
      <c r="A5" s="48" t="s">
        <v>1443</v>
      </c>
      <c r="B5" s="48" t="s">
        <v>101</v>
      </c>
      <c r="C5" s="48" t="s">
        <v>1444</v>
      </c>
      <c r="D5" s="48" t="s">
        <v>1445</v>
      </c>
      <c r="E5" s="48" t="s">
        <v>44</v>
      </c>
      <c r="F5" s="48" t="s">
        <v>32</v>
      </c>
      <c r="G5" s="58" t="s">
        <v>57</v>
      </c>
    </row>
    <row r="6" customFormat="false" ht="15" hidden="false" customHeight="false" outlineLevel="0" collapsed="false">
      <c r="A6" s="48" t="s">
        <v>1446</v>
      </c>
      <c r="B6" s="48" t="s">
        <v>101</v>
      </c>
      <c r="C6" s="48" t="s">
        <v>1447</v>
      </c>
      <c r="D6" s="48" t="s">
        <v>1448</v>
      </c>
      <c r="E6" s="48" t="s">
        <v>19</v>
      </c>
      <c r="F6" s="48" t="s">
        <v>375</v>
      </c>
      <c r="G6" s="58" t="s">
        <v>18</v>
      </c>
    </row>
    <row r="7" customFormat="false" ht="22.35" hidden="false" customHeight="false" outlineLevel="0" collapsed="false">
      <c r="A7" s="48" t="s">
        <v>1449</v>
      </c>
      <c r="B7" s="48" t="s">
        <v>101</v>
      </c>
      <c r="C7" s="48" t="s">
        <v>1450</v>
      </c>
      <c r="D7" s="48" t="s">
        <v>1451</v>
      </c>
      <c r="E7" s="48" t="s">
        <v>1452</v>
      </c>
      <c r="F7" s="48" t="s">
        <v>1453</v>
      </c>
      <c r="G7" s="58" t="s">
        <v>57</v>
      </c>
    </row>
    <row r="8" customFormat="false" ht="15" hidden="false" customHeight="false" outlineLevel="0" collapsed="false">
      <c r="A8" s="48" t="s">
        <v>1454</v>
      </c>
      <c r="B8" s="48" t="s">
        <v>105</v>
      </c>
      <c r="C8" s="48" t="s">
        <v>1455</v>
      </c>
      <c r="D8" s="48" t="s">
        <v>1456</v>
      </c>
      <c r="E8" s="48" t="s">
        <v>1457</v>
      </c>
      <c r="F8" s="48" t="s">
        <v>1457</v>
      </c>
      <c r="G8" s="58" t="s">
        <v>57</v>
      </c>
    </row>
    <row r="9" customFormat="false" ht="15" hidden="false" customHeight="false" outlineLevel="0" collapsed="false">
      <c r="A9" s="48" t="s">
        <v>1458</v>
      </c>
      <c r="B9" s="48" t="s">
        <v>139</v>
      </c>
      <c r="C9" s="48" t="s">
        <v>1459</v>
      </c>
      <c r="D9" s="48" t="s">
        <v>1460</v>
      </c>
      <c r="E9" s="48" t="s">
        <v>50</v>
      </c>
      <c r="F9" s="48" t="s">
        <v>1461</v>
      </c>
      <c r="G9" s="58" t="s">
        <v>57</v>
      </c>
    </row>
    <row r="10" customFormat="false" ht="15" hidden="false" customHeight="false" outlineLevel="0" collapsed="false">
      <c r="A10" s="48" t="s">
        <v>1462</v>
      </c>
      <c r="B10" s="48" t="s">
        <v>139</v>
      </c>
      <c r="C10" s="48" t="s">
        <v>1463</v>
      </c>
      <c r="D10" s="48" t="s">
        <v>1464</v>
      </c>
      <c r="E10" s="48" t="s">
        <v>90</v>
      </c>
      <c r="F10" s="48" t="s">
        <v>172</v>
      </c>
      <c r="G10" s="58" t="s">
        <v>57</v>
      </c>
    </row>
    <row r="11" customFormat="false" ht="15" hidden="false" customHeight="false" outlineLevel="0" collapsed="false">
      <c r="A11" s="48" t="s">
        <v>1465</v>
      </c>
      <c r="B11" s="48" t="s">
        <v>139</v>
      </c>
      <c r="C11" s="48" t="s">
        <v>1466</v>
      </c>
      <c r="D11" s="48" t="s">
        <v>1467</v>
      </c>
      <c r="E11" s="48" t="s">
        <v>1468</v>
      </c>
      <c r="F11" s="48" t="s">
        <v>1469</v>
      </c>
      <c r="G11" s="58" t="s">
        <v>57</v>
      </c>
    </row>
    <row r="12" customFormat="false" ht="15" hidden="false" customHeight="false" outlineLevel="0" collapsed="false">
      <c r="A12" s="48" t="s">
        <v>1470</v>
      </c>
      <c r="B12" s="48" t="s">
        <v>139</v>
      </c>
      <c r="C12" s="48" t="s">
        <v>1471</v>
      </c>
      <c r="D12" s="48" t="s">
        <v>1472</v>
      </c>
      <c r="E12" s="48" t="s">
        <v>1473</v>
      </c>
      <c r="F12" s="48" t="s">
        <v>1474</v>
      </c>
      <c r="G12" s="58" t="s">
        <v>57</v>
      </c>
    </row>
    <row r="13" customFormat="false" ht="15" hidden="false" customHeight="false" outlineLevel="0" collapsed="false">
      <c r="A13" s="48" t="s">
        <v>1475</v>
      </c>
      <c r="B13" s="48" t="s">
        <v>139</v>
      </c>
      <c r="C13" s="48" t="s">
        <v>1476</v>
      </c>
      <c r="D13" s="48" t="s">
        <v>1477</v>
      </c>
      <c r="E13" s="48" t="s">
        <v>1478</v>
      </c>
      <c r="F13" s="48" t="s">
        <v>1479</v>
      </c>
      <c r="G13" s="58" t="s">
        <v>57</v>
      </c>
    </row>
    <row r="14" customFormat="false" ht="15" hidden="false" customHeight="false" outlineLevel="0" collapsed="false">
      <c r="A14" s="48" t="s">
        <v>1480</v>
      </c>
      <c r="B14" s="48" t="s">
        <v>142</v>
      </c>
      <c r="C14" s="48" t="s">
        <v>1481</v>
      </c>
      <c r="D14" s="48" t="s">
        <v>1482</v>
      </c>
      <c r="E14" s="48" t="s">
        <v>542</v>
      </c>
      <c r="F14" s="48" t="s">
        <v>241</v>
      </c>
      <c r="G14" s="58" t="s">
        <v>57</v>
      </c>
    </row>
    <row r="15" customFormat="false" ht="15" hidden="false" customHeight="false" outlineLevel="0" collapsed="false">
      <c r="A15" s="48" t="s">
        <v>1483</v>
      </c>
      <c r="B15" s="48" t="s">
        <v>145</v>
      </c>
      <c r="C15" s="48" t="s">
        <v>1484</v>
      </c>
      <c r="D15" s="48" t="s">
        <v>1485</v>
      </c>
      <c r="E15" s="48" t="s">
        <v>536</v>
      </c>
      <c r="F15" s="48" t="s">
        <v>1486</v>
      </c>
      <c r="G15" s="58" t="s">
        <v>57</v>
      </c>
    </row>
    <row r="16" customFormat="false" ht="15" hidden="false" customHeight="false" outlineLevel="0" collapsed="false">
      <c r="A16" s="48" t="s">
        <v>1487</v>
      </c>
      <c r="B16" s="48" t="s">
        <v>148</v>
      </c>
      <c r="C16" s="48" t="s">
        <v>1488</v>
      </c>
      <c r="D16" s="48" t="s">
        <v>1489</v>
      </c>
      <c r="E16" s="48" t="s">
        <v>463</v>
      </c>
      <c r="F16" s="48" t="s">
        <v>32</v>
      </c>
      <c r="G16" s="58" t="s">
        <v>57</v>
      </c>
    </row>
    <row r="17" customFormat="false" ht="15" hidden="false" customHeight="false" outlineLevel="0" collapsed="false">
      <c r="A17" s="48" t="s">
        <v>1490</v>
      </c>
      <c r="B17" s="48" t="s">
        <v>151</v>
      </c>
      <c r="C17" s="48" t="s">
        <v>1491</v>
      </c>
      <c r="D17" s="48" t="s">
        <v>1492</v>
      </c>
      <c r="E17" s="48" t="s">
        <v>516</v>
      </c>
      <c r="F17" s="48" t="s">
        <v>213</v>
      </c>
      <c r="G17" s="58" t="s">
        <v>57</v>
      </c>
    </row>
    <row r="18" customFormat="false" ht="15" hidden="false" customHeight="false" outlineLevel="0" collapsed="false">
      <c r="A18" s="48" t="s">
        <v>1493</v>
      </c>
      <c r="B18" s="48" t="s">
        <v>151</v>
      </c>
      <c r="C18" s="48" t="s">
        <v>1494</v>
      </c>
      <c r="D18" s="48" t="s">
        <v>1495</v>
      </c>
      <c r="E18" s="48" t="s">
        <v>1496</v>
      </c>
      <c r="F18" s="48" t="s">
        <v>1497</v>
      </c>
      <c r="G18" s="58" t="s">
        <v>57</v>
      </c>
    </row>
    <row r="19" customFormat="false" ht="15" hidden="false" customHeight="false" outlineLevel="0" collapsed="false">
      <c r="A19" s="48" t="s">
        <v>1498</v>
      </c>
      <c r="B19" s="48" t="s">
        <v>151</v>
      </c>
      <c r="C19" s="48" t="s">
        <v>1499</v>
      </c>
      <c r="D19" s="48" t="s">
        <v>1500</v>
      </c>
      <c r="E19" s="48" t="s">
        <v>516</v>
      </c>
      <c r="F19" s="48" t="s">
        <v>213</v>
      </c>
      <c r="G19" s="58" t="s">
        <v>57</v>
      </c>
    </row>
    <row r="20" customFormat="false" ht="15" hidden="false" customHeight="false" outlineLevel="0" collapsed="false">
      <c r="A20" s="48" t="s">
        <v>1501</v>
      </c>
      <c r="B20" s="48" t="s">
        <v>151</v>
      </c>
      <c r="C20" s="48" t="s">
        <v>1502</v>
      </c>
      <c r="D20" s="48" t="s">
        <v>1503</v>
      </c>
      <c r="E20" s="48" t="s">
        <v>516</v>
      </c>
      <c r="F20" s="48" t="s">
        <v>1504</v>
      </c>
      <c r="G20" s="58" t="s">
        <v>57</v>
      </c>
    </row>
    <row r="21" customFormat="false" ht="15" hidden="false" customHeight="false" outlineLevel="0" collapsed="false">
      <c r="A21" s="48" t="s">
        <v>1505</v>
      </c>
      <c r="B21" s="48" t="s">
        <v>151</v>
      </c>
      <c r="C21" s="48" t="s">
        <v>1506</v>
      </c>
      <c r="D21" s="48" t="s">
        <v>1507</v>
      </c>
      <c r="E21" s="48" t="s">
        <v>153</v>
      </c>
      <c r="F21" s="48" t="s">
        <v>1508</v>
      </c>
      <c r="G21" s="58" t="s">
        <v>57</v>
      </c>
    </row>
    <row r="22" customFormat="false" ht="15" hidden="false" customHeight="false" outlineLevel="0" collapsed="false">
      <c r="A22" s="48" t="s">
        <v>1509</v>
      </c>
      <c r="B22" s="48" t="s">
        <v>151</v>
      </c>
      <c r="C22" s="48" t="s">
        <v>1510</v>
      </c>
      <c r="D22" s="48" t="s">
        <v>1511</v>
      </c>
      <c r="E22" s="48" t="s">
        <v>1512</v>
      </c>
      <c r="F22" s="48" t="s">
        <v>1508</v>
      </c>
      <c r="G22" s="58" t="s">
        <v>57</v>
      </c>
    </row>
    <row r="23" customFormat="false" ht="15" hidden="false" customHeight="false" outlineLevel="0" collapsed="false">
      <c r="A23" s="48" t="s">
        <v>1513</v>
      </c>
      <c r="B23" s="48" t="s">
        <v>174</v>
      </c>
      <c r="C23" s="48" t="s">
        <v>1514</v>
      </c>
      <c r="D23" s="48" t="s">
        <v>1515</v>
      </c>
      <c r="E23" s="48" t="s">
        <v>418</v>
      </c>
      <c r="F23" s="48" t="s">
        <v>99</v>
      </c>
      <c r="G23" s="58" t="s">
        <v>57</v>
      </c>
    </row>
    <row r="24" customFormat="false" ht="15" hidden="false" customHeight="false" outlineLevel="0" collapsed="false">
      <c r="A24" s="48" t="s">
        <v>1516</v>
      </c>
      <c r="B24" s="48" t="s">
        <v>177</v>
      </c>
      <c r="C24" s="48" t="s">
        <v>1517</v>
      </c>
      <c r="D24" s="48" t="s">
        <v>1518</v>
      </c>
      <c r="E24" s="48" t="s">
        <v>50</v>
      </c>
      <c r="F24" s="48" t="s">
        <v>478</v>
      </c>
      <c r="G24" s="58" t="s">
        <v>57</v>
      </c>
    </row>
    <row r="25" customFormat="false" ht="15" hidden="false" customHeight="false" outlineLevel="0" collapsed="false">
      <c r="A25" s="48" t="s">
        <v>1519</v>
      </c>
      <c r="B25" s="48" t="s">
        <v>177</v>
      </c>
      <c r="C25" s="48" t="s">
        <v>1520</v>
      </c>
      <c r="D25" s="48" t="s">
        <v>1521</v>
      </c>
      <c r="E25" s="48" t="s">
        <v>50</v>
      </c>
      <c r="F25" s="48" t="s">
        <v>99</v>
      </c>
      <c r="G25" s="58" t="s">
        <v>57</v>
      </c>
    </row>
    <row r="26" customFormat="false" ht="15" hidden="false" customHeight="false" outlineLevel="0" collapsed="false">
      <c r="A26" s="48" t="s">
        <v>1522</v>
      </c>
      <c r="B26" s="48" t="s">
        <v>177</v>
      </c>
      <c r="C26" s="48" t="s">
        <v>1523</v>
      </c>
      <c r="D26" s="48" t="s">
        <v>1524</v>
      </c>
      <c r="E26" s="48" t="s">
        <v>70</v>
      </c>
      <c r="F26" s="48" t="s">
        <v>137</v>
      </c>
      <c r="G26" s="58" t="s">
        <v>57</v>
      </c>
    </row>
    <row r="27" customFormat="false" ht="15" hidden="false" customHeight="false" outlineLevel="0" collapsed="false">
      <c r="A27" s="48" t="s">
        <v>1525</v>
      </c>
      <c r="B27" s="48" t="s">
        <v>180</v>
      </c>
      <c r="C27" s="48" t="s">
        <v>1526</v>
      </c>
      <c r="D27" s="48" t="s">
        <v>1527</v>
      </c>
      <c r="E27" s="48" t="s">
        <v>483</v>
      </c>
      <c r="F27" s="48" t="s">
        <v>1528</v>
      </c>
      <c r="G27" s="58" t="s">
        <v>57</v>
      </c>
    </row>
    <row r="28" customFormat="false" ht="22.35" hidden="false" customHeight="false" outlineLevel="0" collapsed="false">
      <c r="A28" s="48" t="s">
        <v>1529</v>
      </c>
      <c r="B28" s="48" t="s">
        <v>183</v>
      </c>
      <c r="C28" s="48" t="s">
        <v>1530</v>
      </c>
      <c r="D28" s="48" t="s">
        <v>1531</v>
      </c>
      <c r="E28" s="48" t="s">
        <v>1532</v>
      </c>
      <c r="F28" s="48" t="s">
        <v>1533</v>
      </c>
      <c r="G28" s="58" t="s">
        <v>57</v>
      </c>
    </row>
    <row r="29" customFormat="false" ht="22.35" hidden="false" customHeight="false" outlineLevel="0" collapsed="false">
      <c r="A29" s="48" t="s">
        <v>1534</v>
      </c>
      <c r="B29" s="48" t="s">
        <v>186</v>
      </c>
      <c r="C29" s="48" t="s">
        <v>1535</v>
      </c>
      <c r="D29" s="48" t="s">
        <v>1536</v>
      </c>
      <c r="E29" s="48" t="s">
        <v>1537</v>
      </c>
      <c r="F29" s="48" t="s">
        <v>213</v>
      </c>
      <c r="G29" s="58" t="s">
        <v>57</v>
      </c>
    </row>
    <row r="30" customFormat="false" ht="15" hidden="false" customHeight="false" outlineLevel="0" collapsed="false">
      <c r="A30" s="48" t="s">
        <v>1538</v>
      </c>
      <c r="B30" s="48" t="s">
        <v>189</v>
      </c>
      <c r="C30" s="48" t="s">
        <v>1539</v>
      </c>
      <c r="D30" s="48" t="s">
        <v>1540</v>
      </c>
      <c r="E30" s="48" t="s">
        <v>483</v>
      </c>
      <c r="F30" s="48" t="s">
        <v>1528</v>
      </c>
      <c r="G30" s="58" t="s">
        <v>57</v>
      </c>
    </row>
    <row r="31" customFormat="false" ht="15" hidden="false" customHeight="false" outlineLevel="0" collapsed="false">
      <c r="A31" s="48" t="s">
        <v>1541</v>
      </c>
      <c r="B31" s="48" t="s">
        <v>191</v>
      </c>
      <c r="C31" s="48" t="s">
        <v>1542</v>
      </c>
      <c r="D31" s="48" t="s">
        <v>1543</v>
      </c>
      <c r="E31" s="48" t="s">
        <v>532</v>
      </c>
      <c r="F31" s="48" t="s">
        <v>375</v>
      </c>
      <c r="G31" s="58" t="s">
        <v>57</v>
      </c>
    </row>
    <row r="32" customFormat="false" ht="15" hidden="false" customHeight="false" outlineLevel="0" collapsed="false">
      <c r="A32" s="48" t="s">
        <v>1544</v>
      </c>
      <c r="B32" s="48" t="s">
        <v>194</v>
      </c>
      <c r="C32" s="48" t="s">
        <v>1545</v>
      </c>
      <c r="D32" s="48" t="s">
        <v>1546</v>
      </c>
      <c r="E32" s="48" t="s">
        <v>375</v>
      </c>
      <c r="F32" s="48" t="s">
        <v>1547</v>
      </c>
      <c r="G32" s="58" t="s">
        <v>57</v>
      </c>
    </row>
    <row r="33" customFormat="false" ht="15" hidden="false" customHeight="false" outlineLevel="0" collapsed="false">
      <c r="A33" s="48" t="s">
        <v>1548</v>
      </c>
      <c r="B33" s="48" t="s">
        <v>213</v>
      </c>
      <c r="C33" s="48" t="s">
        <v>1549</v>
      </c>
      <c r="D33" s="48" t="s">
        <v>1550</v>
      </c>
      <c r="E33" s="48" t="s">
        <v>472</v>
      </c>
      <c r="F33" s="48" t="s">
        <v>1551</v>
      </c>
      <c r="G33" s="58" t="s">
        <v>57</v>
      </c>
    </row>
    <row r="34" customFormat="false" ht="15" hidden="false" customHeight="false" outlineLevel="0" collapsed="false">
      <c r="A34" s="48" t="s">
        <v>1552</v>
      </c>
      <c r="B34" s="48" t="s">
        <v>213</v>
      </c>
      <c r="C34" s="48" t="s">
        <v>1553</v>
      </c>
      <c r="D34" s="48" t="s">
        <v>1554</v>
      </c>
      <c r="E34" s="48" t="s">
        <v>497</v>
      </c>
      <c r="F34" s="48" t="s">
        <v>1555</v>
      </c>
      <c r="G34" s="58" t="s">
        <v>57</v>
      </c>
    </row>
    <row r="35" customFormat="false" ht="15" hidden="false" customHeight="false" outlineLevel="0" collapsed="false">
      <c r="A35" s="48" t="s">
        <v>1556</v>
      </c>
      <c r="B35" s="48" t="s">
        <v>213</v>
      </c>
      <c r="C35" s="48" t="s">
        <v>1557</v>
      </c>
      <c r="D35" s="48" t="s">
        <v>1558</v>
      </c>
      <c r="E35" s="48" t="s">
        <v>1559</v>
      </c>
      <c r="F35" s="48" t="s">
        <v>1560</v>
      </c>
      <c r="G35" s="58" t="s">
        <v>57</v>
      </c>
    </row>
    <row r="36" customFormat="false" ht="15" hidden="false" customHeight="false" outlineLevel="0" collapsed="false">
      <c r="A36" s="48" t="s">
        <v>1561</v>
      </c>
      <c r="B36" s="48" t="s">
        <v>243</v>
      </c>
      <c r="C36" s="48" t="s">
        <v>1562</v>
      </c>
      <c r="D36" s="48" t="s">
        <v>1563</v>
      </c>
      <c r="E36" s="48" t="s">
        <v>1564</v>
      </c>
      <c r="F36" s="48" t="s">
        <v>1565</v>
      </c>
      <c r="G36" s="58" t="s">
        <v>57</v>
      </c>
    </row>
    <row r="37" customFormat="false" ht="15" hidden="false" customHeight="false" outlineLevel="0" collapsed="false">
      <c r="A37" s="48" t="s">
        <v>1566</v>
      </c>
      <c r="B37" s="48" t="s">
        <v>246</v>
      </c>
      <c r="C37" s="48" t="s">
        <v>1567</v>
      </c>
      <c r="D37" s="48" t="s">
        <v>1568</v>
      </c>
      <c r="E37" s="48" t="s">
        <v>286</v>
      </c>
      <c r="F37" s="48" t="s">
        <v>794</v>
      </c>
      <c r="G37" s="58" t="s">
        <v>57</v>
      </c>
    </row>
    <row r="38" customFormat="false" ht="22.35" hidden="false" customHeight="false" outlineLevel="0" collapsed="false">
      <c r="A38" s="48" t="s">
        <v>1569</v>
      </c>
      <c r="B38" s="48" t="s">
        <v>249</v>
      </c>
      <c r="C38" s="48" t="s">
        <v>1570</v>
      </c>
      <c r="D38" s="48" t="s">
        <v>1571</v>
      </c>
      <c r="E38" s="48" t="s">
        <v>1572</v>
      </c>
      <c r="F38" s="48" t="s">
        <v>1573</v>
      </c>
      <c r="G38" s="58" t="s">
        <v>57</v>
      </c>
    </row>
    <row r="39" customFormat="false" ht="15" hidden="false" customHeight="false" outlineLevel="0" collapsed="false">
      <c r="A39" s="48" t="s">
        <v>1574</v>
      </c>
      <c r="B39" s="48" t="s">
        <v>252</v>
      </c>
      <c r="C39" s="48" t="s">
        <v>1575</v>
      </c>
      <c r="D39" s="48" t="s">
        <v>1576</v>
      </c>
      <c r="E39" s="48" t="s">
        <v>1577</v>
      </c>
      <c r="F39" s="48" t="s">
        <v>1578</v>
      </c>
      <c r="G39" s="58" t="s">
        <v>57</v>
      </c>
    </row>
    <row r="40" customFormat="false" ht="15" hidden="false" customHeight="false" outlineLevel="0" collapsed="false">
      <c r="A40" s="48" t="s">
        <v>1579</v>
      </c>
      <c r="B40" s="48" t="s">
        <v>255</v>
      </c>
      <c r="C40" s="48" t="s">
        <v>1580</v>
      </c>
      <c r="D40" s="48" t="s">
        <v>1581</v>
      </c>
      <c r="E40" s="48" t="s">
        <v>463</v>
      </c>
      <c r="F40" s="48" t="s">
        <v>1582</v>
      </c>
      <c r="G40" s="58" t="s">
        <v>57</v>
      </c>
    </row>
    <row r="41" customFormat="false" ht="15" hidden="false" customHeight="false" outlineLevel="0" collapsed="false">
      <c r="A41" s="48" t="s">
        <v>1583</v>
      </c>
      <c r="B41" s="48" t="s">
        <v>1584</v>
      </c>
      <c r="C41" s="48" t="s">
        <v>1585</v>
      </c>
      <c r="D41" s="48" t="s">
        <v>1586</v>
      </c>
      <c r="E41" s="48" t="s">
        <v>375</v>
      </c>
      <c r="F41" s="48" t="s">
        <v>375</v>
      </c>
      <c r="G41" s="58" t="s">
        <v>18</v>
      </c>
    </row>
    <row r="42" customFormat="false" ht="15" hidden="false" customHeight="false" outlineLevel="0" collapsed="false">
      <c r="A42" s="48" t="s">
        <v>1587</v>
      </c>
      <c r="B42" s="48" t="s">
        <v>1588</v>
      </c>
      <c r="C42" s="48" t="s">
        <v>1589</v>
      </c>
      <c r="D42" s="48" t="s">
        <v>1590</v>
      </c>
      <c r="E42" s="48" t="s">
        <v>375</v>
      </c>
      <c r="F42" s="48" t="s">
        <v>375</v>
      </c>
      <c r="G42" s="58" t="s">
        <v>18</v>
      </c>
    </row>
    <row r="43" customFormat="false" ht="15" hidden="false" customHeight="false" outlineLevel="0" collapsed="false">
      <c r="A43" s="48" t="s">
        <v>1591</v>
      </c>
      <c r="B43" s="48" t="s">
        <v>261</v>
      </c>
      <c r="C43" s="48" t="s">
        <v>1592</v>
      </c>
      <c r="D43" s="48" t="s">
        <v>1593</v>
      </c>
      <c r="E43" s="48" t="s">
        <v>463</v>
      </c>
      <c r="F43" s="48" t="s">
        <v>32</v>
      </c>
      <c r="G43" s="58" t="s">
        <v>57</v>
      </c>
    </row>
    <row r="44" customFormat="false" ht="22.35" hidden="false" customHeight="false" outlineLevel="0" collapsed="false">
      <c r="A44" s="48" t="s">
        <v>1594</v>
      </c>
      <c r="B44" s="48" t="s">
        <v>101</v>
      </c>
      <c r="C44" s="48" t="s">
        <v>1595</v>
      </c>
      <c r="D44" s="48" t="s">
        <v>1596</v>
      </c>
      <c r="E44" s="48" t="s">
        <v>119</v>
      </c>
      <c r="F44" s="48" t="s">
        <v>1582</v>
      </c>
      <c r="G44" s="58" t="s">
        <v>57</v>
      </c>
    </row>
  </sheetData>
  <autoFilter ref="A4:G44"/>
  <conditionalFormatting sqref="G5:G244">
    <cfRule type="cellIs" priority="2" operator="equal" aboveAverage="0" equalAverage="0" bottom="0" percent="0" rank="0" text="" dxfId="10">
      <formula>"Not Started"</formula>
    </cfRule>
    <cfRule type="cellIs" priority="3" operator="equal" aboveAverage="0" equalAverage="0" bottom="0" percent="0" rank="0" text="" dxfId="11">
      <formula>"On Track"</formula>
    </cfRule>
    <cfRule type="cellIs" priority="4" operator="equal" aboveAverage="0" equalAverage="0" bottom="0" percent="0" rank="0" text="" dxfId="12">
      <formula>"Complete"</formula>
    </cfRule>
    <cfRule type="cellIs" priority="5" operator="equal" aboveAverage="0" equalAverage="0" bottom="0" percent="0" rank="0" text="" dxfId="13">
      <formula>"At Risk"</formula>
    </cfRule>
    <cfRule type="cellIs" priority="6" operator="equal" aboveAverage="0" equalAverage="0" bottom="0" percent="0" rank="0" text="" dxfId="14">
      <formula>"Blocked"</formula>
    </cfRule>
  </conditionalFormatting>
  <dataValidations count="1">
    <dataValidation allowBlank="false" error="Choose Not Started, On Track, Complete, At Risk or Blocked" errorStyle="stop" errorTitle="Status" operator="between" showDropDown="false" showErrorMessage="true" showInputMessage="false" sqref="G5:G24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</cols>
  <sheetData>
    <row r="1" customFormat="false" ht="24" hidden="false" customHeight="true" outlineLevel="0" collapsed="false">
      <c r="A1" s="1" t="s">
        <v>1597</v>
      </c>
    </row>
    <row r="2" customFormat="false" ht="15" hidden="false" customHeight="false" outlineLevel="0" collapsed="false">
      <c r="A2" s="38" t="s">
        <v>1598</v>
      </c>
    </row>
    <row r="4" customFormat="false" ht="30" hidden="false" customHeight="true" outlineLevel="0" collapsed="false">
      <c r="A4" s="47" t="s">
        <v>1599</v>
      </c>
      <c r="B4" s="47" t="s">
        <v>26</v>
      </c>
      <c r="C4" s="47" t="s">
        <v>491</v>
      </c>
      <c r="D4" s="47" t="s">
        <v>1426</v>
      </c>
      <c r="E4" s="47" t="s">
        <v>22</v>
      </c>
      <c r="F4" s="47" t="s">
        <v>528</v>
      </c>
      <c r="G4" s="47" t="s">
        <v>56</v>
      </c>
      <c r="H4" s="47" t="s">
        <v>567</v>
      </c>
      <c r="I4" s="47" t="s">
        <v>1600</v>
      </c>
      <c r="J4" s="47" t="s">
        <v>436</v>
      </c>
      <c r="K4" s="47" t="s">
        <v>39</v>
      </c>
      <c r="L4" s="47" t="s">
        <v>86</v>
      </c>
      <c r="M4" s="47" t="s">
        <v>1601</v>
      </c>
    </row>
    <row r="5" customFormat="false" ht="15" hidden="false" customHeight="false" outlineLevel="0" collapsed="false">
      <c r="A5" s="76" t="s">
        <v>1602</v>
      </c>
      <c r="B5" s="63" t="s">
        <v>1603</v>
      </c>
      <c r="C5" s="77" t="s">
        <v>1393</v>
      </c>
      <c r="D5" s="77" t="s">
        <v>1604</v>
      </c>
      <c r="E5" s="78" t="s">
        <v>1605</v>
      </c>
      <c r="F5" s="77" t="s">
        <v>1604</v>
      </c>
      <c r="G5" s="77" t="s">
        <v>1393</v>
      </c>
      <c r="H5" s="77" t="s">
        <v>1604</v>
      </c>
      <c r="I5" s="77" t="s">
        <v>1604</v>
      </c>
      <c r="J5" s="77" t="s">
        <v>1604</v>
      </c>
      <c r="K5" s="77" t="s">
        <v>1604</v>
      </c>
      <c r="L5" s="77" t="s">
        <v>1604</v>
      </c>
      <c r="M5" s="77" t="s">
        <v>1604</v>
      </c>
    </row>
    <row r="6" customFormat="false" ht="15" hidden="false" customHeight="false" outlineLevel="0" collapsed="false">
      <c r="A6" s="76" t="s">
        <v>1606</v>
      </c>
      <c r="B6" s="63" t="s">
        <v>1603</v>
      </c>
      <c r="C6" s="77" t="s">
        <v>1604</v>
      </c>
      <c r="D6" s="77" t="s">
        <v>1393</v>
      </c>
      <c r="E6" s="79" t="s">
        <v>1385</v>
      </c>
      <c r="F6" s="77" t="s">
        <v>1393</v>
      </c>
      <c r="G6" s="77" t="s">
        <v>1604</v>
      </c>
      <c r="H6" s="77" t="s">
        <v>1604</v>
      </c>
      <c r="I6" s="77" t="s">
        <v>1604</v>
      </c>
      <c r="J6" s="77" t="s">
        <v>1604</v>
      </c>
      <c r="K6" s="77" t="s">
        <v>1393</v>
      </c>
      <c r="L6" s="77" t="s">
        <v>1393</v>
      </c>
      <c r="M6" s="77" t="s">
        <v>1604</v>
      </c>
    </row>
    <row r="7" customFormat="false" ht="15" hidden="false" customHeight="false" outlineLevel="0" collapsed="false">
      <c r="A7" s="76" t="s">
        <v>1607</v>
      </c>
      <c r="B7" s="63" t="s">
        <v>1603</v>
      </c>
      <c r="C7" s="77" t="s">
        <v>1393</v>
      </c>
      <c r="D7" s="77" t="s">
        <v>1604</v>
      </c>
      <c r="E7" s="79" t="s">
        <v>1385</v>
      </c>
      <c r="F7" s="77" t="s">
        <v>1604</v>
      </c>
      <c r="G7" s="77" t="s">
        <v>1604</v>
      </c>
      <c r="H7" s="77" t="s">
        <v>1604</v>
      </c>
      <c r="I7" s="77" t="s">
        <v>1604</v>
      </c>
      <c r="J7" s="77" t="s">
        <v>1393</v>
      </c>
      <c r="K7" s="77" t="s">
        <v>1604</v>
      </c>
      <c r="L7" s="77" t="s">
        <v>1604</v>
      </c>
      <c r="M7" s="77" t="s">
        <v>1604</v>
      </c>
    </row>
    <row r="8" customFormat="false" ht="15" hidden="false" customHeight="false" outlineLevel="0" collapsed="false">
      <c r="A8" s="76" t="s">
        <v>1608</v>
      </c>
      <c r="B8" s="77" t="s">
        <v>1393</v>
      </c>
      <c r="C8" s="77" t="s">
        <v>1393</v>
      </c>
      <c r="D8" s="77" t="s">
        <v>1604</v>
      </c>
      <c r="E8" s="78" t="s">
        <v>1605</v>
      </c>
      <c r="F8" s="77" t="s">
        <v>1604</v>
      </c>
      <c r="G8" s="77" t="s">
        <v>1604</v>
      </c>
      <c r="H8" s="77" t="s">
        <v>1604</v>
      </c>
      <c r="I8" s="77" t="s">
        <v>1604</v>
      </c>
      <c r="J8" s="77" t="s">
        <v>1393</v>
      </c>
      <c r="K8" s="63" t="s">
        <v>1603</v>
      </c>
      <c r="L8" s="77" t="s">
        <v>1604</v>
      </c>
      <c r="M8" s="77" t="s">
        <v>1604</v>
      </c>
    </row>
    <row r="9" customFormat="false" ht="15" hidden="false" customHeight="false" outlineLevel="0" collapsed="false">
      <c r="A9" s="76" t="s">
        <v>1609</v>
      </c>
      <c r="B9" s="77" t="s">
        <v>1393</v>
      </c>
      <c r="C9" s="77" t="s">
        <v>1393</v>
      </c>
      <c r="D9" s="77" t="s">
        <v>1604</v>
      </c>
      <c r="E9" s="77" t="s">
        <v>1393</v>
      </c>
      <c r="F9" s="77" t="s">
        <v>1604</v>
      </c>
      <c r="G9" s="77" t="s">
        <v>1604</v>
      </c>
      <c r="H9" s="77" t="s">
        <v>1604</v>
      </c>
      <c r="I9" s="77" t="s">
        <v>1604</v>
      </c>
      <c r="J9" s="78" t="s">
        <v>1605</v>
      </c>
      <c r="K9" s="77" t="s">
        <v>1393</v>
      </c>
      <c r="L9" s="77" t="s">
        <v>1604</v>
      </c>
      <c r="M9" s="77" t="s">
        <v>1604</v>
      </c>
    </row>
    <row r="10" customFormat="false" ht="15" hidden="false" customHeight="false" outlineLevel="0" collapsed="false">
      <c r="A10" s="76" t="s">
        <v>1610</v>
      </c>
      <c r="B10" s="77" t="s">
        <v>1604</v>
      </c>
      <c r="C10" s="77" t="s">
        <v>1604</v>
      </c>
      <c r="D10" s="77" t="s">
        <v>1604</v>
      </c>
      <c r="E10" s="77" t="s">
        <v>1393</v>
      </c>
      <c r="F10" s="78" t="s">
        <v>1605</v>
      </c>
      <c r="G10" s="77" t="s">
        <v>1604</v>
      </c>
      <c r="H10" s="77" t="s">
        <v>1604</v>
      </c>
      <c r="I10" s="77" t="s">
        <v>1604</v>
      </c>
      <c r="J10" s="77" t="s">
        <v>1393</v>
      </c>
      <c r="K10" s="77" t="s">
        <v>1393</v>
      </c>
      <c r="L10" s="77" t="s">
        <v>1604</v>
      </c>
      <c r="M10" s="77" t="s">
        <v>1393</v>
      </c>
    </row>
    <row r="11" customFormat="false" ht="15" hidden="false" customHeight="false" outlineLevel="0" collapsed="false">
      <c r="A11" s="76" t="s">
        <v>1611</v>
      </c>
      <c r="B11" s="77" t="s">
        <v>1393</v>
      </c>
      <c r="C11" s="77" t="s">
        <v>1604</v>
      </c>
      <c r="D11" s="77" t="s">
        <v>1393</v>
      </c>
      <c r="E11" s="78" t="s">
        <v>1605</v>
      </c>
      <c r="F11" s="77" t="s">
        <v>1393</v>
      </c>
      <c r="G11" s="77" t="s">
        <v>1604</v>
      </c>
      <c r="H11" s="77" t="s">
        <v>1604</v>
      </c>
      <c r="I11" s="77" t="s">
        <v>1604</v>
      </c>
      <c r="J11" s="63" t="s">
        <v>1603</v>
      </c>
      <c r="K11" s="77" t="s">
        <v>1393</v>
      </c>
      <c r="L11" s="77" t="s">
        <v>1604</v>
      </c>
      <c r="M11" s="77" t="s">
        <v>1604</v>
      </c>
    </row>
    <row r="12" customFormat="false" ht="15" hidden="false" customHeight="false" outlineLevel="0" collapsed="false">
      <c r="A12" s="76" t="s">
        <v>1612</v>
      </c>
      <c r="B12" s="77" t="s">
        <v>1604</v>
      </c>
      <c r="C12" s="77" t="s">
        <v>1393</v>
      </c>
      <c r="D12" s="77" t="s">
        <v>1393</v>
      </c>
      <c r="E12" s="77" t="s">
        <v>1393</v>
      </c>
      <c r="F12" s="77" t="s">
        <v>1604</v>
      </c>
      <c r="G12" s="77" t="s">
        <v>1604</v>
      </c>
      <c r="H12" s="77" t="s">
        <v>1604</v>
      </c>
      <c r="I12" s="77" t="s">
        <v>1393</v>
      </c>
      <c r="J12" s="77" t="s">
        <v>1393</v>
      </c>
      <c r="K12" s="78" t="s">
        <v>1605</v>
      </c>
      <c r="L12" s="77" t="s">
        <v>1604</v>
      </c>
      <c r="M12" s="77" t="s">
        <v>1393</v>
      </c>
    </row>
    <row r="13" customFormat="false" ht="15" hidden="false" customHeight="false" outlineLevel="0" collapsed="false">
      <c r="A13" s="76" t="s">
        <v>1613</v>
      </c>
      <c r="B13" s="77" t="s">
        <v>1604</v>
      </c>
      <c r="C13" s="77" t="s">
        <v>1393</v>
      </c>
      <c r="D13" s="77" t="s">
        <v>1604</v>
      </c>
      <c r="E13" s="78" t="s">
        <v>1605</v>
      </c>
      <c r="F13" s="77" t="s">
        <v>1393</v>
      </c>
      <c r="G13" s="77" t="s">
        <v>1604</v>
      </c>
      <c r="H13" s="77" t="s">
        <v>1604</v>
      </c>
      <c r="I13" s="77" t="s">
        <v>1604</v>
      </c>
      <c r="J13" s="77" t="s">
        <v>1393</v>
      </c>
      <c r="K13" s="63" t="s">
        <v>1603</v>
      </c>
      <c r="L13" s="63" t="s">
        <v>1603</v>
      </c>
      <c r="M13" s="63" t="s">
        <v>1603</v>
      </c>
    </row>
    <row r="14" customFormat="false" ht="15" hidden="false" customHeight="false" outlineLevel="0" collapsed="false">
      <c r="A14" s="76" t="s">
        <v>1614</v>
      </c>
      <c r="B14" s="77" t="s">
        <v>1604</v>
      </c>
      <c r="C14" s="77" t="s">
        <v>1604</v>
      </c>
      <c r="D14" s="77" t="s">
        <v>1604</v>
      </c>
      <c r="E14" s="77" t="s">
        <v>1393</v>
      </c>
      <c r="F14" s="77" t="s">
        <v>1393</v>
      </c>
      <c r="G14" s="77" t="s">
        <v>1604</v>
      </c>
      <c r="H14" s="79" t="s">
        <v>1385</v>
      </c>
      <c r="I14" s="77" t="s">
        <v>1393</v>
      </c>
      <c r="J14" s="63" t="s">
        <v>1603</v>
      </c>
      <c r="K14" s="63" t="s">
        <v>1603</v>
      </c>
      <c r="L14" s="77" t="s">
        <v>1393</v>
      </c>
      <c r="M14" s="77" t="s">
        <v>1393</v>
      </c>
    </row>
    <row r="15" customFormat="false" ht="15" hidden="false" customHeight="false" outlineLevel="0" collapsed="false">
      <c r="A15" s="76" t="s">
        <v>1615</v>
      </c>
      <c r="B15" s="77" t="s">
        <v>1604</v>
      </c>
      <c r="C15" s="77" t="s">
        <v>1604</v>
      </c>
      <c r="D15" s="77" t="s">
        <v>1604</v>
      </c>
      <c r="E15" s="77" t="s">
        <v>1393</v>
      </c>
      <c r="F15" s="77" t="s">
        <v>1393</v>
      </c>
      <c r="G15" s="77" t="s">
        <v>1604</v>
      </c>
      <c r="H15" s="79" t="s">
        <v>1385</v>
      </c>
      <c r="I15" s="63" t="s">
        <v>1603</v>
      </c>
      <c r="J15" s="77" t="s">
        <v>1393</v>
      </c>
      <c r="K15" s="77" t="s">
        <v>1393</v>
      </c>
      <c r="L15" s="77" t="s">
        <v>1604</v>
      </c>
      <c r="M15" s="77" t="s">
        <v>1604</v>
      </c>
    </row>
    <row r="16" customFormat="false" ht="15" hidden="false" customHeight="false" outlineLevel="0" collapsed="false">
      <c r="A16" s="76" t="s">
        <v>1616</v>
      </c>
      <c r="B16" s="77" t="s">
        <v>1604</v>
      </c>
      <c r="C16" s="77" t="s">
        <v>1604</v>
      </c>
      <c r="D16" s="77" t="s">
        <v>1604</v>
      </c>
      <c r="E16" s="77" t="s">
        <v>1393</v>
      </c>
      <c r="F16" s="77" t="s">
        <v>1604</v>
      </c>
      <c r="G16" s="77" t="s">
        <v>1604</v>
      </c>
      <c r="H16" s="77" t="s">
        <v>1393</v>
      </c>
      <c r="I16" s="77" t="s">
        <v>1604</v>
      </c>
      <c r="J16" s="77" t="s">
        <v>1604</v>
      </c>
      <c r="K16" s="77" t="s">
        <v>1393</v>
      </c>
      <c r="L16" s="78" t="s">
        <v>1605</v>
      </c>
      <c r="M16" s="63" t="s">
        <v>1603</v>
      </c>
    </row>
    <row r="17" customFormat="false" ht="15" hidden="false" customHeight="false" outlineLevel="0" collapsed="false">
      <c r="A17" s="76" t="s">
        <v>1617</v>
      </c>
      <c r="B17" s="77" t="s">
        <v>1604</v>
      </c>
      <c r="C17" s="77" t="s">
        <v>1604</v>
      </c>
      <c r="D17" s="77" t="s">
        <v>1604</v>
      </c>
      <c r="E17" s="78" t="s">
        <v>1605</v>
      </c>
      <c r="F17" s="77" t="s">
        <v>1604</v>
      </c>
      <c r="G17" s="77" t="s">
        <v>1393</v>
      </c>
      <c r="H17" s="77" t="s">
        <v>1393</v>
      </c>
      <c r="I17" s="77" t="s">
        <v>1604</v>
      </c>
      <c r="J17" s="63" t="s">
        <v>1603</v>
      </c>
      <c r="K17" s="63" t="s">
        <v>1603</v>
      </c>
      <c r="L17" s="77" t="s">
        <v>1393</v>
      </c>
      <c r="M17" s="77" t="s">
        <v>1604</v>
      </c>
    </row>
    <row r="18" customFormat="false" ht="15" hidden="false" customHeight="false" outlineLevel="0" collapsed="false">
      <c r="A18" s="76" t="s">
        <v>1618</v>
      </c>
      <c r="B18" s="77" t="s">
        <v>1393</v>
      </c>
      <c r="C18" s="77" t="s">
        <v>1393</v>
      </c>
      <c r="D18" s="77" t="s">
        <v>1393</v>
      </c>
      <c r="E18" s="63" t="s">
        <v>1603</v>
      </c>
      <c r="F18" s="77" t="s">
        <v>1393</v>
      </c>
      <c r="G18" s="79" t="s">
        <v>1385</v>
      </c>
      <c r="H18" s="77" t="s">
        <v>1393</v>
      </c>
      <c r="I18" s="77" t="s">
        <v>1393</v>
      </c>
      <c r="J18" s="77" t="s">
        <v>1393</v>
      </c>
      <c r="K18" s="77" t="s">
        <v>1393</v>
      </c>
      <c r="L18" s="77" t="s">
        <v>1393</v>
      </c>
      <c r="M18" s="77" t="s">
        <v>1604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1619</v>
      </c>
    </row>
    <row r="2" customFormat="false" ht="15" hidden="false" customHeight="false" outlineLevel="0" collapsed="false">
      <c r="A2" s="38" t="s">
        <v>1620</v>
      </c>
    </row>
    <row r="4" customFormat="false" ht="30" hidden="false" customHeight="true" outlineLevel="0" collapsed="false">
      <c r="A4" s="47" t="s">
        <v>1621</v>
      </c>
      <c r="B4" s="47" t="s">
        <v>1622</v>
      </c>
      <c r="C4" s="47" t="s">
        <v>5</v>
      </c>
      <c r="D4" s="47" t="s">
        <v>409</v>
      </c>
      <c r="E4" s="47" t="s">
        <v>1623</v>
      </c>
    </row>
    <row r="5" customFormat="false" ht="15" hidden="false" customHeight="false" outlineLevel="0" collapsed="false">
      <c r="A5" s="48" t="s">
        <v>1624</v>
      </c>
      <c r="B5" s="48" t="s">
        <v>716</v>
      </c>
      <c r="C5" s="56" t="n">
        <v>46237</v>
      </c>
      <c r="D5" s="56" t="n">
        <v>46292</v>
      </c>
      <c r="E5" s="48" t="s">
        <v>1625</v>
      </c>
    </row>
    <row r="6" customFormat="false" ht="15" hidden="false" customHeight="false" outlineLevel="0" collapsed="false">
      <c r="A6" s="48" t="s">
        <v>1626</v>
      </c>
      <c r="B6" s="48" t="s">
        <v>685</v>
      </c>
      <c r="C6" s="56" t="n">
        <v>46272</v>
      </c>
      <c r="D6" s="56" t="n">
        <v>46306</v>
      </c>
      <c r="E6" s="48" t="s">
        <v>1627</v>
      </c>
    </row>
    <row r="7" customFormat="false" ht="15" hidden="false" customHeight="false" outlineLevel="0" collapsed="false">
      <c r="A7" s="48" t="s">
        <v>372</v>
      </c>
      <c r="B7" s="48" t="s">
        <v>685</v>
      </c>
      <c r="C7" s="56" t="n">
        <v>46293</v>
      </c>
      <c r="D7" s="56" t="n">
        <v>46332</v>
      </c>
      <c r="E7" s="48" t="s">
        <v>1628</v>
      </c>
    </row>
    <row r="8" customFormat="false" ht="15" hidden="false" customHeight="false" outlineLevel="0" collapsed="false">
      <c r="A8" s="48" t="s">
        <v>1629</v>
      </c>
      <c r="B8" s="48" t="s">
        <v>733</v>
      </c>
      <c r="C8" s="56" t="n">
        <v>46309</v>
      </c>
      <c r="D8" s="56" t="n">
        <v>46332</v>
      </c>
      <c r="E8" s="48" t="s">
        <v>1630</v>
      </c>
    </row>
    <row r="9" customFormat="false" ht="15" hidden="false" customHeight="false" outlineLevel="0" collapsed="false">
      <c r="A9" s="48" t="s">
        <v>1631</v>
      </c>
      <c r="B9" s="48" t="s">
        <v>733</v>
      </c>
      <c r="C9" s="56" t="n">
        <v>46314</v>
      </c>
      <c r="D9" s="56" t="n">
        <v>46332</v>
      </c>
      <c r="E9" s="48" t="s">
        <v>1630</v>
      </c>
    </row>
    <row r="10" customFormat="false" ht="15" hidden="false" customHeight="false" outlineLevel="0" collapsed="false">
      <c r="A10" s="48" t="s">
        <v>1632</v>
      </c>
      <c r="B10" s="48" t="s">
        <v>733</v>
      </c>
      <c r="C10" s="56" t="n">
        <v>46335</v>
      </c>
      <c r="D10" s="56" t="n">
        <v>46360</v>
      </c>
      <c r="E10" s="48" t="s">
        <v>1633</v>
      </c>
    </row>
    <row r="11" customFormat="false" ht="15" hidden="false" customHeight="false" outlineLevel="0" collapsed="false">
      <c r="A11" s="48" t="s">
        <v>1634</v>
      </c>
      <c r="B11" s="48" t="s">
        <v>375</v>
      </c>
      <c r="C11" s="56" t="n">
        <v>46356</v>
      </c>
      <c r="D11" s="56" t="n">
        <v>46360</v>
      </c>
      <c r="E11" s="48" t="s">
        <v>1635</v>
      </c>
    </row>
    <row r="12" customFormat="false" ht="15" hidden="false" customHeight="false" outlineLevel="0" collapsed="false">
      <c r="A12" s="48" t="s">
        <v>1636</v>
      </c>
      <c r="B12" s="48" t="s">
        <v>386</v>
      </c>
      <c r="C12" s="56" t="n">
        <v>46363</v>
      </c>
      <c r="D12" s="56" t="n">
        <v>46387</v>
      </c>
      <c r="E12" s="48" t="s">
        <v>1637</v>
      </c>
    </row>
    <row r="13" customFormat="false" ht="15" hidden="false" customHeight="false" outlineLevel="0" collapsed="false">
      <c r="A13" s="48" t="s">
        <v>1638</v>
      </c>
      <c r="B13" s="48" t="s">
        <v>375</v>
      </c>
      <c r="C13" s="56" t="n">
        <v>46335</v>
      </c>
      <c r="D13" s="56" t="n">
        <v>46339</v>
      </c>
      <c r="E13" s="48" t="s">
        <v>1639</v>
      </c>
    </row>
    <row r="14" customFormat="false" ht="15" hidden="false" customHeight="false" outlineLevel="0" collapsed="false">
      <c r="A14" s="48" t="s">
        <v>323</v>
      </c>
      <c r="B14" s="48" t="s">
        <v>386</v>
      </c>
      <c r="C14" s="56" t="n">
        <v>46388</v>
      </c>
      <c r="D14" s="56" t="n">
        <v>46388</v>
      </c>
      <c r="E14" s="48"/>
    </row>
  </sheetData>
  <autoFilter ref="A4:E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1640</v>
      </c>
    </row>
    <row r="2" customFormat="false" ht="15" hidden="false" customHeight="false" outlineLevel="0" collapsed="false">
      <c r="A2" s="38" t="s">
        <v>1641</v>
      </c>
    </row>
    <row r="4" customFormat="false" ht="30" hidden="false" customHeight="true" outlineLevel="0" collapsed="false">
      <c r="A4" s="47" t="s">
        <v>1642</v>
      </c>
      <c r="B4" s="47" t="s">
        <v>1643</v>
      </c>
      <c r="C4" s="47" t="s">
        <v>1644</v>
      </c>
    </row>
    <row r="5" customFormat="false" ht="15" hidden="false" customHeight="false" outlineLevel="0" collapsed="false">
      <c r="A5" s="48" t="s">
        <v>1645</v>
      </c>
      <c r="B5" s="48" t="s">
        <v>1646</v>
      </c>
      <c r="C5" s="48" t="s">
        <v>1647</v>
      </c>
    </row>
    <row r="6" customFormat="false" ht="15" hidden="false" customHeight="false" outlineLevel="0" collapsed="false">
      <c r="A6" s="48" t="s">
        <v>1648</v>
      </c>
      <c r="B6" s="48" t="s">
        <v>1649</v>
      </c>
      <c r="C6" s="48" t="s">
        <v>1650</v>
      </c>
    </row>
    <row r="7" customFormat="false" ht="15" hidden="false" customHeight="false" outlineLevel="0" collapsed="false">
      <c r="A7" s="48" t="s">
        <v>1651</v>
      </c>
      <c r="B7" s="48" t="s">
        <v>1652</v>
      </c>
      <c r="C7" s="48" t="s">
        <v>1653</v>
      </c>
    </row>
    <row r="8" customFormat="false" ht="15" hidden="false" customHeight="false" outlineLevel="0" collapsed="false">
      <c r="A8" s="48" t="s">
        <v>1654</v>
      </c>
      <c r="B8" s="48" t="s">
        <v>1655</v>
      </c>
      <c r="C8" s="48" t="s">
        <v>1656</v>
      </c>
    </row>
    <row r="9" customFormat="false" ht="15" hidden="false" customHeight="false" outlineLevel="0" collapsed="false">
      <c r="A9" s="48" t="s">
        <v>1657</v>
      </c>
      <c r="B9" s="48" t="s">
        <v>1658</v>
      </c>
      <c r="C9" s="48" t="s">
        <v>1659</v>
      </c>
    </row>
    <row r="10" customFormat="false" ht="15" hidden="false" customHeight="false" outlineLevel="0" collapsed="false">
      <c r="A10" s="48" t="s">
        <v>1660</v>
      </c>
      <c r="B10" s="48" t="s">
        <v>1661</v>
      </c>
      <c r="C10" s="48" t="s">
        <v>1662</v>
      </c>
    </row>
    <row r="11" customFormat="false" ht="15" hidden="false" customHeight="false" outlineLevel="0" collapsed="false">
      <c r="A11" s="48" t="s">
        <v>1663</v>
      </c>
      <c r="B11" s="48" t="s">
        <v>1664</v>
      </c>
      <c r="C11" s="48" t="s">
        <v>1665</v>
      </c>
    </row>
    <row r="12" customFormat="false" ht="15" hidden="false" customHeight="false" outlineLevel="0" collapsed="false">
      <c r="A12" s="48" t="s">
        <v>1666</v>
      </c>
      <c r="B12" s="48" t="s">
        <v>1667</v>
      </c>
      <c r="C12" s="48" t="s">
        <v>1668</v>
      </c>
    </row>
    <row r="13" customFormat="false" ht="15" hidden="false" customHeight="false" outlineLevel="0" collapsed="false">
      <c r="A13" s="48" t="s">
        <v>1669</v>
      </c>
      <c r="B13" s="48" t="s">
        <v>1670</v>
      </c>
      <c r="C13" s="48" t="s">
        <v>1671</v>
      </c>
    </row>
    <row r="14" customFormat="false" ht="22.35" hidden="false" customHeight="false" outlineLevel="0" collapsed="false">
      <c r="A14" s="48" t="s">
        <v>1672</v>
      </c>
      <c r="B14" s="48" t="s">
        <v>1673</v>
      </c>
      <c r="C14" s="48" t="s">
        <v>1674</v>
      </c>
    </row>
    <row r="15" customFormat="false" ht="15" hidden="false" customHeight="false" outlineLevel="0" collapsed="false">
      <c r="A15" s="48" t="s">
        <v>1675</v>
      </c>
      <c r="B15" s="48" t="s">
        <v>1676</v>
      </c>
      <c r="C15" s="48" t="s">
        <v>1677</v>
      </c>
    </row>
    <row r="16" customFormat="false" ht="15" hidden="false" customHeight="false" outlineLevel="0" collapsed="false">
      <c r="A16" s="48" t="s">
        <v>1678</v>
      </c>
      <c r="B16" s="48" t="s">
        <v>1679</v>
      </c>
      <c r="C16" s="48" t="s">
        <v>1680</v>
      </c>
    </row>
    <row r="17" customFormat="false" ht="15" hidden="false" customHeight="false" outlineLevel="0" collapsed="false">
      <c r="A17" s="48" t="s">
        <v>1681</v>
      </c>
      <c r="B17" s="48" t="s">
        <v>1682</v>
      </c>
      <c r="C17" s="48" t="s">
        <v>1683</v>
      </c>
    </row>
    <row r="18" customFormat="false" ht="15" hidden="false" customHeight="false" outlineLevel="0" collapsed="false">
      <c r="A18" s="48" t="s">
        <v>1684</v>
      </c>
      <c r="B18" s="48" t="s">
        <v>1685</v>
      </c>
      <c r="C18" s="48" t="s">
        <v>1686</v>
      </c>
    </row>
    <row r="19" customFormat="false" ht="15" hidden="false" customHeight="false" outlineLevel="0" collapsed="false">
      <c r="A19" s="48" t="s">
        <v>1687</v>
      </c>
      <c r="B19" s="48" t="s">
        <v>1688</v>
      </c>
      <c r="C19" s="48" t="s">
        <v>1689</v>
      </c>
    </row>
  </sheetData>
  <autoFilter ref="A4:C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G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" t="s">
        <v>1690</v>
      </c>
    </row>
    <row r="2" customFormat="false" ht="15" hidden="false" customHeight="false" outlineLevel="0" collapsed="false">
      <c r="A2" s="38" t="s">
        <v>1691</v>
      </c>
    </row>
    <row r="4" customFormat="false" ht="30" hidden="false" customHeight="true" outlineLevel="0" collapsed="false">
      <c r="A4" s="47" t="s">
        <v>1692</v>
      </c>
      <c r="B4" s="47" t="s">
        <v>1693</v>
      </c>
      <c r="C4" s="47" t="s">
        <v>1694</v>
      </c>
      <c r="D4" s="47" t="s">
        <v>1695</v>
      </c>
      <c r="E4" s="47" t="s">
        <v>1696</v>
      </c>
      <c r="F4" s="47" t="s">
        <v>900</v>
      </c>
      <c r="G4" s="47" t="s">
        <v>1697</v>
      </c>
    </row>
    <row r="5" customFormat="false" ht="15" hidden="false" customHeight="false" outlineLevel="0" collapsed="false">
      <c r="A5" s="48" t="s">
        <v>1698</v>
      </c>
      <c r="B5" s="48" t="s">
        <v>1699</v>
      </c>
      <c r="C5" s="48" t="s">
        <v>1700</v>
      </c>
      <c r="D5" s="48" t="s">
        <v>1701</v>
      </c>
      <c r="E5" s="48" t="s">
        <v>1702</v>
      </c>
      <c r="F5" s="48" t="s">
        <v>22</v>
      </c>
      <c r="G5" s="48" t="s">
        <v>1703</v>
      </c>
    </row>
    <row r="6" customFormat="false" ht="15" hidden="false" customHeight="false" outlineLevel="0" collapsed="false">
      <c r="A6" s="48" t="s">
        <v>1704</v>
      </c>
      <c r="B6" s="48" t="s">
        <v>1699</v>
      </c>
      <c r="C6" s="48" t="s">
        <v>1705</v>
      </c>
      <c r="D6" s="48" t="s">
        <v>1706</v>
      </c>
      <c r="E6" s="48" t="s">
        <v>1707</v>
      </c>
      <c r="F6" s="48" t="s">
        <v>1708</v>
      </c>
      <c r="G6" s="48" t="s">
        <v>1709</v>
      </c>
    </row>
    <row r="7" customFormat="false" ht="15" hidden="false" customHeight="false" outlineLevel="0" collapsed="false">
      <c r="A7" s="48" t="s">
        <v>1710</v>
      </c>
      <c r="B7" s="48" t="s">
        <v>1711</v>
      </c>
      <c r="C7" s="48" t="s">
        <v>1712</v>
      </c>
      <c r="D7" s="48" t="s">
        <v>1713</v>
      </c>
      <c r="E7" s="48" t="s">
        <v>1714</v>
      </c>
      <c r="F7" s="48" t="s">
        <v>1715</v>
      </c>
      <c r="G7" s="48" t="s">
        <v>1703</v>
      </c>
    </row>
    <row r="8" customFormat="false" ht="15" hidden="false" customHeight="false" outlineLevel="0" collapsed="false">
      <c r="A8" s="48" t="s">
        <v>1716</v>
      </c>
      <c r="B8" s="48" t="s">
        <v>1711</v>
      </c>
      <c r="C8" s="48" t="s">
        <v>1717</v>
      </c>
      <c r="D8" s="48" t="s">
        <v>1718</v>
      </c>
      <c r="E8" s="48" t="s">
        <v>1719</v>
      </c>
      <c r="F8" s="48" t="s">
        <v>1720</v>
      </c>
      <c r="G8" s="48" t="s">
        <v>1703</v>
      </c>
    </row>
    <row r="9" customFormat="false" ht="15" hidden="false" customHeight="false" outlineLevel="0" collapsed="false">
      <c r="A9" s="48" t="s">
        <v>1721</v>
      </c>
      <c r="B9" s="48" t="s">
        <v>1711</v>
      </c>
      <c r="C9" s="48" t="s">
        <v>1722</v>
      </c>
      <c r="D9" s="48" t="s">
        <v>1723</v>
      </c>
      <c r="E9" s="48" t="s">
        <v>1724</v>
      </c>
      <c r="F9" s="48" t="s">
        <v>22</v>
      </c>
      <c r="G9" s="48" t="s">
        <v>1703</v>
      </c>
    </row>
    <row r="10" customFormat="false" ht="15" hidden="false" customHeight="false" outlineLevel="0" collapsed="false">
      <c r="A10" s="48" t="s">
        <v>1725</v>
      </c>
      <c r="B10" s="48" t="s">
        <v>1711</v>
      </c>
      <c r="C10" s="48" t="s">
        <v>1726</v>
      </c>
      <c r="D10" s="48" t="s">
        <v>1727</v>
      </c>
      <c r="E10" s="48" t="s">
        <v>1728</v>
      </c>
      <c r="F10" s="48" t="s">
        <v>1729</v>
      </c>
      <c r="G10" s="48" t="s">
        <v>1703</v>
      </c>
    </row>
    <row r="11" customFormat="false" ht="15" hidden="false" customHeight="false" outlineLevel="0" collapsed="false">
      <c r="A11" s="48" t="s">
        <v>1730</v>
      </c>
      <c r="B11" s="48" t="s">
        <v>1711</v>
      </c>
      <c r="C11" s="48" t="s">
        <v>1731</v>
      </c>
      <c r="D11" s="48" t="s">
        <v>1732</v>
      </c>
      <c r="E11" s="48" t="s">
        <v>1733</v>
      </c>
      <c r="F11" s="48" t="s">
        <v>1729</v>
      </c>
      <c r="G11" s="48" t="s">
        <v>1734</v>
      </c>
    </row>
    <row r="12" customFormat="false" ht="15" hidden="false" customHeight="false" outlineLevel="0" collapsed="false">
      <c r="A12" s="48" t="s">
        <v>1735</v>
      </c>
      <c r="B12" s="48" t="s">
        <v>1711</v>
      </c>
      <c r="C12" s="48" t="s">
        <v>1736</v>
      </c>
      <c r="D12" s="48" t="s">
        <v>1737</v>
      </c>
      <c r="E12" s="48" t="s">
        <v>1738</v>
      </c>
      <c r="F12" s="48" t="s">
        <v>1739</v>
      </c>
      <c r="G12" s="48" t="s">
        <v>1703</v>
      </c>
    </row>
    <row r="13" customFormat="false" ht="15" hidden="false" customHeight="false" outlineLevel="0" collapsed="false">
      <c r="A13" s="48" t="s">
        <v>1740</v>
      </c>
      <c r="B13" s="48" t="s">
        <v>1711</v>
      </c>
      <c r="C13" s="48" t="s">
        <v>1741</v>
      </c>
      <c r="D13" s="48" t="s">
        <v>1742</v>
      </c>
      <c r="E13" s="48" t="s">
        <v>1743</v>
      </c>
      <c r="F13" s="48" t="s">
        <v>1744</v>
      </c>
      <c r="G13" s="48" t="s">
        <v>1703</v>
      </c>
    </row>
    <row r="14" customFormat="false" ht="15" hidden="false" customHeight="false" outlineLevel="0" collapsed="false">
      <c r="A14" s="48" t="s">
        <v>1745</v>
      </c>
      <c r="B14" s="48" t="s">
        <v>1711</v>
      </c>
      <c r="C14" s="48" t="s">
        <v>1746</v>
      </c>
      <c r="D14" s="48" t="s">
        <v>1747</v>
      </c>
      <c r="E14" s="48" t="s">
        <v>1748</v>
      </c>
      <c r="F14" s="48" t="s">
        <v>1749</v>
      </c>
      <c r="G14" s="48" t="s">
        <v>1703</v>
      </c>
    </row>
    <row r="15" customFormat="false" ht="22.35" hidden="false" customHeight="false" outlineLevel="0" collapsed="false">
      <c r="A15" s="48" t="s">
        <v>1750</v>
      </c>
      <c r="B15" s="48" t="s">
        <v>1711</v>
      </c>
      <c r="C15" s="48" t="s">
        <v>1751</v>
      </c>
      <c r="D15" s="48" t="s">
        <v>1752</v>
      </c>
      <c r="E15" s="48" t="s">
        <v>1753</v>
      </c>
      <c r="F15" s="48" t="s">
        <v>1754</v>
      </c>
      <c r="G15" s="48" t="s">
        <v>1703</v>
      </c>
    </row>
    <row r="16" customFormat="false" ht="15" hidden="false" customHeight="false" outlineLevel="0" collapsed="false">
      <c r="A16" s="48" t="s">
        <v>1755</v>
      </c>
      <c r="B16" s="48" t="s">
        <v>1711</v>
      </c>
      <c r="C16" s="48" t="s">
        <v>1756</v>
      </c>
      <c r="D16" s="48" t="s">
        <v>1757</v>
      </c>
      <c r="E16" s="48" t="s">
        <v>1758</v>
      </c>
      <c r="F16" s="48" t="s">
        <v>1759</v>
      </c>
      <c r="G16" s="48" t="s">
        <v>1703</v>
      </c>
    </row>
    <row r="17" customFormat="false" ht="15" hidden="false" customHeight="false" outlineLevel="0" collapsed="false">
      <c r="A17" s="48" t="s">
        <v>1760</v>
      </c>
      <c r="B17" s="48" t="s">
        <v>1711</v>
      </c>
      <c r="C17" s="48" t="s">
        <v>1761</v>
      </c>
      <c r="D17" s="48" t="s">
        <v>1762</v>
      </c>
      <c r="E17" s="48" t="s">
        <v>1763</v>
      </c>
      <c r="F17" s="48" t="s">
        <v>1764</v>
      </c>
      <c r="G17" s="48" t="s">
        <v>1703</v>
      </c>
    </row>
    <row r="18" customFormat="false" ht="15" hidden="false" customHeight="false" outlineLevel="0" collapsed="false">
      <c r="A18" s="48" t="s">
        <v>1765</v>
      </c>
      <c r="B18" s="48" t="s">
        <v>1711</v>
      </c>
      <c r="C18" s="48" t="s">
        <v>1766</v>
      </c>
      <c r="D18" s="48" t="s">
        <v>1767</v>
      </c>
      <c r="E18" s="48" t="s">
        <v>1768</v>
      </c>
      <c r="F18" s="48" t="s">
        <v>1729</v>
      </c>
      <c r="G18" s="48" t="s">
        <v>1709</v>
      </c>
    </row>
    <row r="19" customFormat="false" ht="15" hidden="false" customHeight="false" outlineLevel="0" collapsed="false">
      <c r="A19" s="48" t="s">
        <v>1769</v>
      </c>
      <c r="B19" s="48" t="s">
        <v>1711</v>
      </c>
      <c r="C19" s="48" t="s">
        <v>1770</v>
      </c>
      <c r="D19" s="48" t="s">
        <v>1771</v>
      </c>
      <c r="E19" s="48" t="s">
        <v>1772</v>
      </c>
      <c r="F19" s="48" t="s">
        <v>1729</v>
      </c>
      <c r="G19" s="48" t="s">
        <v>1709</v>
      </c>
    </row>
    <row r="20" customFormat="false" ht="15" hidden="false" customHeight="false" outlineLevel="0" collapsed="false">
      <c r="A20" s="48" t="s">
        <v>1773</v>
      </c>
      <c r="B20" s="48" t="s">
        <v>1711</v>
      </c>
      <c r="C20" s="48" t="s">
        <v>1774</v>
      </c>
      <c r="D20" s="48" t="s">
        <v>1775</v>
      </c>
      <c r="E20" s="48" t="s">
        <v>1776</v>
      </c>
      <c r="F20" s="48" t="s">
        <v>1777</v>
      </c>
      <c r="G20" s="48" t="s">
        <v>1709</v>
      </c>
    </row>
    <row r="21" customFormat="false" ht="15" hidden="false" customHeight="false" outlineLevel="0" collapsed="false">
      <c r="A21" s="48" t="s">
        <v>1778</v>
      </c>
      <c r="B21" s="48" t="s">
        <v>1711</v>
      </c>
      <c r="C21" s="48" t="s">
        <v>1779</v>
      </c>
      <c r="D21" s="48" t="s">
        <v>1780</v>
      </c>
      <c r="E21" s="48" t="s">
        <v>1748</v>
      </c>
      <c r="F21" s="48" t="s">
        <v>1749</v>
      </c>
      <c r="G21" s="48" t="s">
        <v>1709</v>
      </c>
    </row>
    <row r="22" customFormat="false" ht="15" hidden="false" customHeight="false" outlineLevel="0" collapsed="false">
      <c r="A22" s="48" t="s">
        <v>1781</v>
      </c>
      <c r="B22" s="48" t="s">
        <v>1711</v>
      </c>
      <c r="C22" s="48" t="s">
        <v>1782</v>
      </c>
      <c r="D22" s="48" t="s">
        <v>1747</v>
      </c>
      <c r="E22" s="48" t="s">
        <v>1783</v>
      </c>
      <c r="F22" s="48" t="s">
        <v>1749</v>
      </c>
      <c r="G22" s="48" t="s">
        <v>1709</v>
      </c>
    </row>
    <row r="23" customFormat="false" ht="15" hidden="false" customHeight="false" outlineLevel="0" collapsed="false">
      <c r="A23" s="48" t="s">
        <v>1784</v>
      </c>
      <c r="B23" s="48" t="s">
        <v>1711</v>
      </c>
      <c r="C23" s="48" t="s">
        <v>1785</v>
      </c>
      <c r="D23" s="48" t="s">
        <v>1786</v>
      </c>
      <c r="E23" s="48" t="s">
        <v>1787</v>
      </c>
      <c r="F23" s="48" t="s">
        <v>1788</v>
      </c>
      <c r="G23" s="48" t="s">
        <v>1709</v>
      </c>
    </row>
    <row r="24" customFormat="false" ht="15" hidden="false" customHeight="false" outlineLevel="0" collapsed="false">
      <c r="A24" s="48" t="s">
        <v>1789</v>
      </c>
      <c r="B24" s="48" t="s">
        <v>1711</v>
      </c>
      <c r="C24" s="48" t="s">
        <v>1790</v>
      </c>
      <c r="D24" s="48" t="s">
        <v>1791</v>
      </c>
      <c r="E24" s="48" t="s">
        <v>1792</v>
      </c>
      <c r="F24" s="48" t="s">
        <v>1749</v>
      </c>
      <c r="G24" s="48" t="s">
        <v>1703</v>
      </c>
    </row>
    <row r="25" customFormat="false" ht="15" hidden="false" customHeight="false" outlineLevel="0" collapsed="false">
      <c r="A25" s="48" t="s">
        <v>1793</v>
      </c>
      <c r="B25" s="48" t="s">
        <v>1711</v>
      </c>
      <c r="C25" s="48" t="s">
        <v>1794</v>
      </c>
      <c r="D25" s="48" t="s">
        <v>1795</v>
      </c>
      <c r="E25" s="48" t="s">
        <v>1796</v>
      </c>
      <c r="F25" s="48" t="s">
        <v>1754</v>
      </c>
      <c r="G25" s="48" t="s">
        <v>1709</v>
      </c>
    </row>
    <row r="26" customFormat="false" ht="15" hidden="false" customHeight="false" outlineLevel="0" collapsed="false">
      <c r="A26" s="48" t="s">
        <v>1797</v>
      </c>
      <c r="B26" s="48" t="s">
        <v>1711</v>
      </c>
      <c r="C26" s="48" t="s">
        <v>1798</v>
      </c>
      <c r="D26" s="48" t="s">
        <v>1799</v>
      </c>
      <c r="E26" s="48" t="s">
        <v>1800</v>
      </c>
      <c r="F26" s="48" t="s">
        <v>22</v>
      </c>
      <c r="G26" s="48" t="s">
        <v>1801</v>
      </c>
    </row>
    <row r="27" customFormat="false" ht="15" hidden="false" customHeight="false" outlineLevel="0" collapsed="false">
      <c r="A27" s="48" t="s">
        <v>1802</v>
      </c>
      <c r="B27" s="48" t="s">
        <v>1711</v>
      </c>
      <c r="C27" s="48" t="s">
        <v>1803</v>
      </c>
      <c r="D27" s="48" t="s">
        <v>1804</v>
      </c>
      <c r="E27" s="48" t="s">
        <v>1805</v>
      </c>
      <c r="F27" s="48" t="s">
        <v>1806</v>
      </c>
      <c r="G27" s="48" t="s">
        <v>1801</v>
      </c>
    </row>
    <row r="28" customFormat="false" ht="15" hidden="false" customHeight="false" outlineLevel="0" collapsed="false">
      <c r="A28" s="48" t="s">
        <v>1807</v>
      </c>
      <c r="B28" s="48" t="s">
        <v>1711</v>
      </c>
      <c r="C28" s="48" t="s">
        <v>1808</v>
      </c>
      <c r="D28" s="48" t="s">
        <v>1718</v>
      </c>
      <c r="E28" s="48" t="s">
        <v>1809</v>
      </c>
      <c r="F28" s="48" t="s">
        <v>1720</v>
      </c>
      <c r="G28" s="48" t="s">
        <v>1709</v>
      </c>
    </row>
    <row r="29" customFormat="false" ht="15" hidden="false" customHeight="false" outlineLevel="0" collapsed="false">
      <c r="A29" s="48" t="s">
        <v>1810</v>
      </c>
      <c r="B29" s="48" t="s">
        <v>1711</v>
      </c>
      <c r="C29" s="48" t="s">
        <v>1811</v>
      </c>
      <c r="D29" s="48" t="s">
        <v>1812</v>
      </c>
      <c r="E29" s="48" t="s">
        <v>1813</v>
      </c>
      <c r="F29" s="48" t="s">
        <v>1744</v>
      </c>
      <c r="G29" s="48" t="s">
        <v>1709</v>
      </c>
    </row>
    <row r="30" customFormat="false" ht="22.35" hidden="false" customHeight="false" outlineLevel="0" collapsed="false">
      <c r="A30" s="48" t="s">
        <v>1814</v>
      </c>
      <c r="B30" s="48" t="s">
        <v>1711</v>
      </c>
      <c r="C30" s="48" t="s">
        <v>1815</v>
      </c>
      <c r="D30" s="48" t="s">
        <v>1816</v>
      </c>
      <c r="E30" s="48" t="s">
        <v>1817</v>
      </c>
      <c r="F30" s="48" t="s">
        <v>1818</v>
      </c>
      <c r="G30" s="48" t="s">
        <v>1703</v>
      </c>
    </row>
    <row r="31" customFormat="false" ht="15" hidden="false" customHeight="false" outlineLevel="0" collapsed="false">
      <c r="A31" s="48" t="s">
        <v>1819</v>
      </c>
      <c r="B31" s="48" t="s">
        <v>1711</v>
      </c>
      <c r="C31" s="48" t="s">
        <v>1820</v>
      </c>
      <c r="D31" s="48" t="s">
        <v>1821</v>
      </c>
      <c r="E31" s="48" t="s">
        <v>1822</v>
      </c>
      <c r="F31" s="48" t="s">
        <v>1806</v>
      </c>
      <c r="G31" s="48" t="s">
        <v>1709</v>
      </c>
    </row>
    <row r="32" customFormat="false" ht="15" hidden="false" customHeight="false" outlineLevel="0" collapsed="false">
      <c r="A32" s="48" t="s">
        <v>1823</v>
      </c>
      <c r="B32" s="48" t="s">
        <v>1711</v>
      </c>
      <c r="C32" s="48" t="s">
        <v>1824</v>
      </c>
      <c r="D32" s="48" t="s">
        <v>1825</v>
      </c>
      <c r="E32" s="48" t="s">
        <v>1826</v>
      </c>
      <c r="F32" s="48" t="s">
        <v>1806</v>
      </c>
      <c r="G32" s="48" t="s">
        <v>1703</v>
      </c>
    </row>
    <row r="33" customFormat="false" ht="15" hidden="false" customHeight="false" outlineLevel="0" collapsed="false">
      <c r="A33" s="48" t="s">
        <v>1823</v>
      </c>
      <c r="B33" s="48" t="s">
        <v>1711</v>
      </c>
      <c r="C33" s="48" t="s">
        <v>1824</v>
      </c>
      <c r="D33" s="48" t="s">
        <v>1825</v>
      </c>
      <c r="E33" s="48" t="s">
        <v>1827</v>
      </c>
      <c r="F33" s="48" t="s">
        <v>1749</v>
      </c>
      <c r="G33" s="48" t="s">
        <v>1703</v>
      </c>
    </row>
    <row r="34" customFormat="false" ht="15" hidden="false" customHeight="false" outlineLevel="0" collapsed="false">
      <c r="A34" s="48" t="s">
        <v>1828</v>
      </c>
      <c r="B34" s="48" t="s">
        <v>1711</v>
      </c>
      <c r="C34" s="48" t="s">
        <v>1829</v>
      </c>
      <c r="D34" s="48" t="s">
        <v>1830</v>
      </c>
      <c r="E34" s="48" t="s">
        <v>1831</v>
      </c>
      <c r="F34" s="48" t="s">
        <v>1715</v>
      </c>
      <c r="G34" s="48" t="s">
        <v>1703</v>
      </c>
    </row>
    <row r="35" customFormat="false" ht="15" hidden="false" customHeight="false" outlineLevel="0" collapsed="false">
      <c r="A35" s="48" t="s">
        <v>1832</v>
      </c>
      <c r="B35" s="48" t="s">
        <v>1711</v>
      </c>
      <c r="C35" s="48" t="s">
        <v>1833</v>
      </c>
      <c r="D35" s="48" t="s">
        <v>1780</v>
      </c>
      <c r="E35" s="48" t="s">
        <v>1834</v>
      </c>
      <c r="F35" s="48" t="s">
        <v>1749</v>
      </c>
      <c r="G35" s="48" t="s">
        <v>1703</v>
      </c>
    </row>
    <row r="36" customFormat="false" ht="15" hidden="false" customHeight="false" outlineLevel="0" collapsed="false">
      <c r="A36" s="48" t="s">
        <v>1835</v>
      </c>
      <c r="B36" s="48" t="s">
        <v>1711</v>
      </c>
      <c r="C36" s="48" t="s">
        <v>1836</v>
      </c>
      <c r="D36" s="48" t="s">
        <v>1837</v>
      </c>
      <c r="E36" s="48" t="s">
        <v>1838</v>
      </c>
      <c r="F36" s="48" t="s">
        <v>79</v>
      </c>
      <c r="G36" s="48" t="s">
        <v>1801</v>
      </c>
    </row>
    <row r="37" customFormat="false" ht="15" hidden="false" customHeight="false" outlineLevel="0" collapsed="false">
      <c r="A37" s="48" t="s">
        <v>1839</v>
      </c>
      <c r="B37" s="48" t="s">
        <v>1840</v>
      </c>
      <c r="C37" s="48" t="s">
        <v>1841</v>
      </c>
      <c r="D37" s="48" t="s">
        <v>1747</v>
      </c>
      <c r="E37" s="48" t="s">
        <v>1842</v>
      </c>
      <c r="F37" s="48" t="s">
        <v>1749</v>
      </c>
      <c r="G37" s="48" t="s">
        <v>1709</v>
      </c>
    </row>
    <row r="38" customFormat="false" ht="15" hidden="false" customHeight="false" outlineLevel="0" collapsed="false">
      <c r="A38" s="48" t="s">
        <v>1843</v>
      </c>
      <c r="B38" s="48" t="s">
        <v>1840</v>
      </c>
      <c r="C38" s="48" t="s">
        <v>1844</v>
      </c>
      <c r="D38" s="48" t="s">
        <v>1845</v>
      </c>
      <c r="E38" s="48" t="s">
        <v>1846</v>
      </c>
      <c r="F38" s="48" t="s">
        <v>1749</v>
      </c>
      <c r="G38" s="48" t="s">
        <v>1703</v>
      </c>
    </row>
    <row r="39" customFormat="false" ht="15" hidden="false" customHeight="false" outlineLevel="0" collapsed="false">
      <c r="A39" s="48" t="s">
        <v>1847</v>
      </c>
      <c r="B39" s="48" t="s">
        <v>1840</v>
      </c>
      <c r="C39" s="48" t="s">
        <v>1848</v>
      </c>
      <c r="D39" s="48" t="s">
        <v>1849</v>
      </c>
      <c r="E39" s="48" t="s">
        <v>1850</v>
      </c>
      <c r="F39" s="48" t="s">
        <v>1777</v>
      </c>
      <c r="G39" s="48" t="s">
        <v>1703</v>
      </c>
    </row>
    <row r="40" customFormat="false" ht="15" hidden="false" customHeight="false" outlineLevel="0" collapsed="false">
      <c r="A40" s="48" t="s">
        <v>1851</v>
      </c>
      <c r="B40" s="48" t="s">
        <v>1840</v>
      </c>
      <c r="C40" s="48" t="s">
        <v>1852</v>
      </c>
      <c r="D40" s="48" t="s">
        <v>1853</v>
      </c>
      <c r="E40" s="48" t="s">
        <v>1854</v>
      </c>
      <c r="F40" s="48" t="s">
        <v>1749</v>
      </c>
      <c r="G40" s="48" t="s">
        <v>1703</v>
      </c>
    </row>
    <row r="41" customFormat="false" ht="15" hidden="false" customHeight="false" outlineLevel="0" collapsed="false">
      <c r="A41" s="48" t="s">
        <v>1855</v>
      </c>
      <c r="B41" s="48" t="s">
        <v>1840</v>
      </c>
      <c r="C41" s="48" t="s">
        <v>1856</v>
      </c>
      <c r="D41" s="48" t="s">
        <v>1825</v>
      </c>
      <c r="E41" s="48" t="s">
        <v>1854</v>
      </c>
      <c r="F41" s="48" t="s">
        <v>1749</v>
      </c>
      <c r="G41" s="48" t="s">
        <v>1703</v>
      </c>
    </row>
    <row r="42" customFormat="false" ht="15" hidden="false" customHeight="false" outlineLevel="0" collapsed="false">
      <c r="A42" s="48" t="s">
        <v>1857</v>
      </c>
      <c r="B42" s="48" t="s">
        <v>1840</v>
      </c>
      <c r="C42" s="48" t="s">
        <v>1858</v>
      </c>
      <c r="D42" s="48" t="s">
        <v>1799</v>
      </c>
      <c r="E42" s="48" t="s">
        <v>1859</v>
      </c>
      <c r="F42" s="48" t="s">
        <v>22</v>
      </c>
      <c r="G42" s="48" t="s">
        <v>1703</v>
      </c>
    </row>
    <row r="43" customFormat="false" ht="15" hidden="false" customHeight="false" outlineLevel="0" collapsed="false">
      <c r="A43" s="48" t="s">
        <v>1860</v>
      </c>
      <c r="B43" s="48" t="s">
        <v>1840</v>
      </c>
      <c r="C43" s="48" t="s">
        <v>1861</v>
      </c>
      <c r="D43" s="48" t="s">
        <v>1862</v>
      </c>
      <c r="E43" s="48" t="s">
        <v>1863</v>
      </c>
      <c r="F43" s="48" t="s">
        <v>1749</v>
      </c>
      <c r="G43" s="48" t="s">
        <v>1703</v>
      </c>
    </row>
    <row r="44" customFormat="false" ht="15" hidden="false" customHeight="false" outlineLevel="0" collapsed="false">
      <c r="A44" s="48" t="s">
        <v>1864</v>
      </c>
      <c r="B44" s="48" t="s">
        <v>1840</v>
      </c>
      <c r="C44" s="48" t="s">
        <v>1865</v>
      </c>
      <c r="D44" s="48" t="s">
        <v>1866</v>
      </c>
      <c r="E44" s="48" t="s">
        <v>1867</v>
      </c>
      <c r="F44" s="48" t="s">
        <v>1818</v>
      </c>
      <c r="G44" s="48" t="s">
        <v>1703</v>
      </c>
    </row>
    <row r="45" customFormat="false" ht="15" hidden="false" customHeight="false" outlineLevel="0" collapsed="false">
      <c r="A45" s="48" t="s">
        <v>1868</v>
      </c>
      <c r="B45" s="48" t="s">
        <v>1840</v>
      </c>
      <c r="C45" s="48" t="s">
        <v>1869</v>
      </c>
      <c r="D45" s="48" t="s">
        <v>1791</v>
      </c>
      <c r="E45" s="48" t="s">
        <v>1870</v>
      </c>
      <c r="F45" s="48" t="s">
        <v>1749</v>
      </c>
      <c r="G45" s="48" t="s">
        <v>1703</v>
      </c>
    </row>
    <row r="46" customFormat="false" ht="15" hidden="false" customHeight="false" outlineLevel="0" collapsed="false">
      <c r="A46" s="48" t="s">
        <v>1871</v>
      </c>
      <c r="B46" s="48" t="s">
        <v>1840</v>
      </c>
      <c r="C46" s="48" t="s">
        <v>1872</v>
      </c>
      <c r="D46" s="48" t="s">
        <v>1873</v>
      </c>
      <c r="E46" s="48" t="s">
        <v>1874</v>
      </c>
      <c r="F46" s="48" t="s">
        <v>1818</v>
      </c>
      <c r="G46" s="48" t="s">
        <v>1703</v>
      </c>
    </row>
    <row r="47" customFormat="false" ht="15" hidden="false" customHeight="false" outlineLevel="0" collapsed="false">
      <c r="A47" s="48" t="s">
        <v>1875</v>
      </c>
      <c r="B47" s="48" t="s">
        <v>1840</v>
      </c>
      <c r="C47" s="48" t="s">
        <v>1876</v>
      </c>
      <c r="D47" s="48" t="s">
        <v>1877</v>
      </c>
      <c r="E47" s="48" t="s">
        <v>1878</v>
      </c>
      <c r="F47" s="48" t="s">
        <v>22</v>
      </c>
      <c r="G47" s="48" t="s">
        <v>1703</v>
      </c>
    </row>
    <row r="48" customFormat="false" ht="15" hidden="false" customHeight="false" outlineLevel="0" collapsed="false">
      <c r="A48" s="48" t="s">
        <v>1879</v>
      </c>
      <c r="B48" s="48" t="s">
        <v>1840</v>
      </c>
      <c r="C48" s="48" t="s">
        <v>1880</v>
      </c>
      <c r="D48" s="48" t="s">
        <v>1881</v>
      </c>
      <c r="E48" s="48" t="s">
        <v>1882</v>
      </c>
      <c r="F48" s="48" t="s">
        <v>1729</v>
      </c>
      <c r="G48" s="48" t="s">
        <v>1734</v>
      </c>
    </row>
    <row r="49" customFormat="false" ht="15" hidden="false" customHeight="false" outlineLevel="0" collapsed="false">
      <c r="A49" s="48" t="s">
        <v>1883</v>
      </c>
      <c r="B49" s="48" t="s">
        <v>1840</v>
      </c>
      <c r="C49" s="48" t="s">
        <v>1884</v>
      </c>
      <c r="D49" s="48" t="s">
        <v>1885</v>
      </c>
      <c r="E49" s="48" t="s">
        <v>1886</v>
      </c>
      <c r="F49" s="48" t="s">
        <v>22</v>
      </c>
      <c r="G49" s="48" t="s">
        <v>1703</v>
      </c>
    </row>
    <row r="50" customFormat="false" ht="15" hidden="false" customHeight="false" outlineLevel="0" collapsed="false">
      <c r="A50" s="48" t="s">
        <v>1887</v>
      </c>
      <c r="B50" s="48" t="s">
        <v>1840</v>
      </c>
      <c r="C50" s="48" t="s">
        <v>1888</v>
      </c>
      <c r="D50" s="48" t="s">
        <v>1862</v>
      </c>
      <c r="E50" s="48" t="s">
        <v>1889</v>
      </c>
      <c r="F50" s="48" t="s">
        <v>1749</v>
      </c>
      <c r="G50" s="48" t="s">
        <v>1703</v>
      </c>
    </row>
    <row r="51" customFormat="false" ht="15" hidden="false" customHeight="false" outlineLevel="0" collapsed="false">
      <c r="A51" s="48" t="s">
        <v>1890</v>
      </c>
      <c r="B51" s="48" t="s">
        <v>1840</v>
      </c>
      <c r="C51" s="48" t="s">
        <v>1891</v>
      </c>
      <c r="D51" s="48" t="s">
        <v>1892</v>
      </c>
      <c r="E51" s="48" t="s">
        <v>1893</v>
      </c>
      <c r="F51" s="48" t="s">
        <v>1720</v>
      </c>
      <c r="G51" s="48" t="s">
        <v>1703</v>
      </c>
    </row>
    <row r="52" customFormat="false" ht="15" hidden="false" customHeight="false" outlineLevel="0" collapsed="false">
      <c r="A52" s="48" t="s">
        <v>1894</v>
      </c>
      <c r="B52" s="48" t="s">
        <v>1840</v>
      </c>
      <c r="C52" s="48" t="s">
        <v>1895</v>
      </c>
      <c r="D52" s="48" t="s">
        <v>1896</v>
      </c>
      <c r="E52" s="48" t="s">
        <v>1897</v>
      </c>
      <c r="F52" s="48" t="s">
        <v>1729</v>
      </c>
      <c r="G52" s="48" t="s">
        <v>1703</v>
      </c>
    </row>
    <row r="53" customFormat="false" ht="15" hidden="false" customHeight="false" outlineLevel="0" collapsed="false">
      <c r="A53" s="48" t="s">
        <v>1898</v>
      </c>
      <c r="B53" s="48" t="s">
        <v>1840</v>
      </c>
      <c r="C53" s="48" t="s">
        <v>1899</v>
      </c>
      <c r="D53" s="48" t="s">
        <v>1900</v>
      </c>
      <c r="E53" s="48" t="s">
        <v>1901</v>
      </c>
      <c r="F53" s="48" t="s">
        <v>1749</v>
      </c>
      <c r="G53" s="48" t="s">
        <v>1703</v>
      </c>
    </row>
    <row r="54" customFormat="false" ht="15" hidden="false" customHeight="false" outlineLevel="0" collapsed="false">
      <c r="A54" s="48" t="s">
        <v>1902</v>
      </c>
      <c r="B54" s="48" t="s">
        <v>1840</v>
      </c>
      <c r="C54" s="48" t="s">
        <v>1903</v>
      </c>
      <c r="D54" s="48" t="s">
        <v>1904</v>
      </c>
      <c r="E54" s="48" t="s">
        <v>1905</v>
      </c>
      <c r="F54" s="48" t="s">
        <v>79</v>
      </c>
      <c r="G54" s="48" t="s">
        <v>1703</v>
      </c>
    </row>
    <row r="55" customFormat="false" ht="15" hidden="false" customHeight="false" outlineLevel="0" collapsed="false">
      <c r="A55" s="48" t="s">
        <v>1906</v>
      </c>
      <c r="B55" s="48" t="s">
        <v>1840</v>
      </c>
      <c r="C55" s="48" t="s">
        <v>1907</v>
      </c>
      <c r="D55" s="48" t="s">
        <v>1892</v>
      </c>
      <c r="E55" s="48" t="s">
        <v>1908</v>
      </c>
      <c r="F55" s="48" t="s">
        <v>1720</v>
      </c>
      <c r="G55" s="48" t="s">
        <v>1703</v>
      </c>
    </row>
    <row r="56" customFormat="false" ht="15" hidden="false" customHeight="false" outlineLevel="0" collapsed="false">
      <c r="A56" s="48" t="s">
        <v>1909</v>
      </c>
      <c r="B56" s="48" t="s">
        <v>1840</v>
      </c>
      <c r="C56" s="48" t="s">
        <v>1910</v>
      </c>
      <c r="D56" s="48" t="s">
        <v>1911</v>
      </c>
      <c r="E56" s="48" t="s">
        <v>1912</v>
      </c>
      <c r="F56" s="48" t="s">
        <v>1913</v>
      </c>
      <c r="G56" s="48" t="s">
        <v>1703</v>
      </c>
    </row>
    <row r="57" customFormat="false" ht="15" hidden="false" customHeight="false" outlineLevel="0" collapsed="false">
      <c r="A57" s="48" t="s">
        <v>1914</v>
      </c>
      <c r="B57" s="48" t="s">
        <v>1840</v>
      </c>
      <c r="C57" s="48" t="s">
        <v>1915</v>
      </c>
      <c r="D57" s="48" t="s">
        <v>1916</v>
      </c>
      <c r="E57" s="48" t="s">
        <v>1917</v>
      </c>
      <c r="F57" s="48" t="s">
        <v>1749</v>
      </c>
      <c r="G57" s="48" t="s">
        <v>1703</v>
      </c>
    </row>
    <row r="58" customFormat="false" ht="15" hidden="false" customHeight="false" outlineLevel="0" collapsed="false">
      <c r="A58" s="48" t="s">
        <v>1918</v>
      </c>
      <c r="B58" s="48" t="s">
        <v>1840</v>
      </c>
      <c r="C58" s="48" t="s">
        <v>1919</v>
      </c>
      <c r="D58" s="48" t="s">
        <v>1920</v>
      </c>
      <c r="E58" s="48" t="s">
        <v>1921</v>
      </c>
      <c r="F58" s="48" t="s">
        <v>79</v>
      </c>
      <c r="G58" s="48" t="s">
        <v>1703</v>
      </c>
    </row>
    <row r="59" customFormat="false" ht="15" hidden="false" customHeight="false" outlineLevel="0" collapsed="false">
      <c r="A59" s="48" t="s">
        <v>1922</v>
      </c>
      <c r="B59" s="48" t="s">
        <v>1840</v>
      </c>
      <c r="C59" s="48" t="s">
        <v>1923</v>
      </c>
      <c r="D59" s="48" t="s">
        <v>1924</v>
      </c>
      <c r="E59" s="48" t="s">
        <v>1925</v>
      </c>
      <c r="F59" s="48" t="s">
        <v>1749</v>
      </c>
      <c r="G59" s="48" t="s">
        <v>1703</v>
      </c>
    </row>
    <row r="60" customFormat="false" ht="15" hidden="false" customHeight="false" outlineLevel="0" collapsed="false">
      <c r="A60" s="48" t="s">
        <v>1926</v>
      </c>
      <c r="B60" s="48" t="s">
        <v>1840</v>
      </c>
      <c r="C60" s="48" t="s">
        <v>1927</v>
      </c>
      <c r="D60" s="48" t="s">
        <v>1928</v>
      </c>
      <c r="E60" s="48" t="s">
        <v>1929</v>
      </c>
      <c r="F60" s="48" t="s">
        <v>22</v>
      </c>
      <c r="G60" s="48" t="s">
        <v>1703</v>
      </c>
    </row>
    <row r="61" customFormat="false" ht="15" hidden="false" customHeight="false" outlineLevel="0" collapsed="false">
      <c r="A61" s="48" t="s">
        <v>1930</v>
      </c>
      <c r="B61" s="48" t="s">
        <v>1840</v>
      </c>
      <c r="C61" s="48" t="s">
        <v>1931</v>
      </c>
      <c r="D61" s="48" t="s">
        <v>1877</v>
      </c>
      <c r="E61" s="48" t="s">
        <v>1932</v>
      </c>
      <c r="F61" s="48" t="s">
        <v>22</v>
      </c>
      <c r="G61" s="48" t="s">
        <v>1703</v>
      </c>
    </row>
    <row r="62" customFormat="false" ht="15" hidden="false" customHeight="false" outlineLevel="0" collapsed="false">
      <c r="A62" s="48" t="s">
        <v>1933</v>
      </c>
      <c r="B62" s="48" t="s">
        <v>1840</v>
      </c>
      <c r="C62" s="48" t="s">
        <v>1934</v>
      </c>
      <c r="D62" s="48" t="s">
        <v>1935</v>
      </c>
      <c r="E62" s="48" t="s">
        <v>1936</v>
      </c>
      <c r="F62" s="48" t="s">
        <v>79</v>
      </c>
      <c r="G62" s="48" t="s">
        <v>1703</v>
      </c>
    </row>
    <row r="63" customFormat="false" ht="15" hidden="false" customHeight="false" outlineLevel="0" collapsed="false">
      <c r="A63" s="48" t="s">
        <v>1937</v>
      </c>
      <c r="B63" s="48" t="s">
        <v>1840</v>
      </c>
      <c r="C63" s="48" t="s">
        <v>1938</v>
      </c>
      <c r="D63" s="48" t="s">
        <v>1799</v>
      </c>
      <c r="E63" s="48" t="s">
        <v>1939</v>
      </c>
      <c r="F63" s="48" t="s">
        <v>22</v>
      </c>
      <c r="G63" s="48" t="s">
        <v>1703</v>
      </c>
    </row>
    <row r="64" customFormat="false" ht="15" hidden="false" customHeight="false" outlineLevel="0" collapsed="false">
      <c r="A64" s="48" t="s">
        <v>1940</v>
      </c>
      <c r="B64" s="48" t="s">
        <v>1840</v>
      </c>
      <c r="C64" s="48" t="s">
        <v>1941</v>
      </c>
      <c r="D64" s="48" t="s">
        <v>1942</v>
      </c>
      <c r="E64" s="48" t="s">
        <v>1943</v>
      </c>
      <c r="F64" s="48" t="s">
        <v>1729</v>
      </c>
      <c r="G64" s="48" t="s">
        <v>1703</v>
      </c>
    </row>
    <row r="65" customFormat="false" ht="15" hidden="false" customHeight="false" outlineLevel="0" collapsed="false">
      <c r="A65" s="48" t="s">
        <v>1944</v>
      </c>
      <c r="B65" s="48" t="s">
        <v>1840</v>
      </c>
      <c r="C65" s="48" t="s">
        <v>1945</v>
      </c>
      <c r="D65" s="48" t="s">
        <v>1791</v>
      </c>
      <c r="E65" s="48" t="s">
        <v>1946</v>
      </c>
      <c r="F65" s="48" t="s">
        <v>1749</v>
      </c>
      <c r="G65" s="48" t="s">
        <v>1709</v>
      </c>
    </row>
    <row r="66" customFormat="false" ht="15" hidden="false" customHeight="false" outlineLevel="0" collapsed="false">
      <c r="A66" s="48" t="s">
        <v>1947</v>
      </c>
      <c r="B66" s="48" t="s">
        <v>1840</v>
      </c>
      <c r="C66" s="48" t="s">
        <v>1948</v>
      </c>
      <c r="D66" s="48" t="s">
        <v>1747</v>
      </c>
      <c r="E66" s="48" t="s">
        <v>1949</v>
      </c>
      <c r="F66" s="48" t="s">
        <v>1749</v>
      </c>
      <c r="G66" s="48" t="s">
        <v>1709</v>
      </c>
    </row>
    <row r="67" customFormat="false" ht="15" hidden="false" customHeight="false" outlineLevel="0" collapsed="false">
      <c r="A67" s="48" t="s">
        <v>1950</v>
      </c>
      <c r="B67" s="48" t="s">
        <v>1840</v>
      </c>
      <c r="C67" s="48" t="s">
        <v>1951</v>
      </c>
      <c r="D67" s="48" t="s">
        <v>1952</v>
      </c>
      <c r="E67" s="48" t="s">
        <v>1953</v>
      </c>
      <c r="F67" s="48" t="s">
        <v>1749</v>
      </c>
      <c r="G67" s="48" t="s">
        <v>1703</v>
      </c>
    </row>
    <row r="68" customFormat="false" ht="15" hidden="false" customHeight="false" outlineLevel="0" collapsed="false">
      <c r="A68" s="48" t="s">
        <v>1954</v>
      </c>
      <c r="B68" s="48" t="s">
        <v>1840</v>
      </c>
      <c r="C68" s="48" t="s">
        <v>1955</v>
      </c>
      <c r="D68" s="48" t="s">
        <v>1791</v>
      </c>
      <c r="E68" s="48" t="s">
        <v>1956</v>
      </c>
      <c r="F68" s="48" t="s">
        <v>1749</v>
      </c>
      <c r="G68" s="48" t="s">
        <v>1703</v>
      </c>
    </row>
    <row r="69" customFormat="false" ht="15" hidden="false" customHeight="false" outlineLevel="0" collapsed="false">
      <c r="A69" s="48" t="s">
        <v>1957</v>
      </c>
      <c r="B69" s="48" t="s">
        <v>1840</v>
      </c>
      <c r="C69" s="48" t="s">
        <v>1958</v>
      </c>
      <c r="D69" s="48" t="s">
        <v>1942</v>
      </c>
      <c r="E69" s="48" t="s">
        <v>1943</v>
      </c>
      <c r="F69" s="48" t="s">
        <v>1729</v>
      </c>
      <c r="G69" s="48" t="s">
        <v>1703</v>
      </c>
    </row>
    <row r="70" customFormat="false" ht="15" hidden="false" customHeight="false" outlineLevel="0" collapsed="false">
      <c r="A70" s="48" t="s">
        <v>1959</v>
      </c>
      <c r="B70" s="48" t="s">
        <v>1840</v>
      </c>
      <c r="C70" s="48" t="s">
        <v>1960</v>
      </c>
      <c r="D70" s="48" t="s">
        <v>1961</v>
      </c>
      <c r="E70" s="48" t="s">
        <v>1962</v>
      </c>
      <c r="F70" s="48" t="s">
        <v>1749</v>
      </c>
      <c r="G70" s="48" t="s">
        <v>1703</v>
      </c>
    </row>
    <row r="71" customFormat="false" ht="15" hidden="false" customHeight="false" outlineLevel="0" collapsed="false">
      <c r="A71" s="48" t="s">
        <v>1963</v>
      </c>
      <c r="B71" s="48" t="s">
        <v>1840</v>
      </c>
      <c r="C71" s="48" t="s">
        <v>1964</v>
      </c>
      <c r="D71" s="48" t="s">
        <v>1791</v>
      </c>
      <c r="E71" s="48" t="s">
        <v>1965</v>
      </c>
      <c r="F71" s="48" t="s">
        <v>1749</v>
      </c>
      <c r="G71" s="48" t="s">
        <v>1709</v>
      </c>
    </row>
    <row r="72" customFormat="false" ht="15" hidden="false" customHeight="false" outlineLevel="0" collapsed="false">
      <c r="A72" s="48" t="s">
        <v>1966</v>
      </c>
      <c r="B72" s="48" t="s">
        <v>1840</v>
      </c>
      <c r="C72" s="48" t="s">
        <v>1967</v>
      </c>
      <c r="D72" s="48" t="s">
        <v>1968</v>
      </c>
      <c r="E72" s="48" t="s">
        <v>1969</v>
      </c>
      <c r="F72" s="48" t="s">
        <v>1729</v>
      </c>
      <c r="G72" s="48" t="s">
        <v>1703</v>
      </c>
    </row>
    <row r="73" customFormat="false" ht="15" hidden="false" customHeight="false" outlineLevel="0" collapsed="false">
      <c r="A73" s="48" t="s">
        <v>1970</v>
      </c>
      <c r="B73" s="48" t="s">
        <v>1840</v>
      </c>
      <c r="C73" s="48" t="s">
        <v>1971</v>
      </c>
      <c r="D73" s="48" t="s">
        <v>1706</v>
      </c>
      <c r="E73" s="48" t="s">
        <v>1972</v>
      </c>
      <c r="F73" s="48" t="s">
        <v>1708</v>
      </c>
      <c r="G73" s="48" t="s">
        <v>1709</v>
      </c>
    </row>
    <row r="74" customFormat="false" ht="15" hidden="false" customHeight="false" outlineLevel="0" collapsed="false">
      <c r="A74" s="48" t="s">
        <v>1970</v>
      </c>
      <c r="B74" s="48" t="s">
        <v>1840</v>
      </c>
      <c r="C74" s="48" t="s">
        <v>1971</v>
      </c>
      <c r="D74" s="48" t="s">
        <v>1706</v>
      </c>
      <c r="E74" s="48" t="s">
        <v>1973</v>
      </c>
      <c r="F74" s="48" t="s">
        <v>1708</v>
      </c>
      <c r="G74" s="48" t="s">
        <v>1709</v>
      </c>
    </row>
    <row r="75" customFormat="false" ht="15" hidden="false" customHeight="false" outlineLevel="0" collapsed="false">
      <c r="A75" s="48" t="s">
        <v>1974</v>
      </c>
      <c r="B75" s="48" t="s">
        <v>1840</v>
      </c>
      <c r="C75" s="48" t="s">
        <v>1975</v>
      </c>
      <c r="D75" s="48" t="s">
        <v>1976</v>
      </c>
      <c r="E75" s="48" t="s">
        <v>1977</v>
      </c>
      <c r="F75" s="48" t="s">
        <v>1749</v>
      </c>
      <c r="G75" s="48" t="s">
        <v>1978</v>
      </c>
    </row>
    <row r="76" customFormat="false" ht="15" hidden="false" customHeight="false" outlineLevel="0" collapsed="false">
      <c r="A76" s="48" t="s">
        <v>1974</v>
      </c>
      <c r="B76" s="48" t="s">
        <v>1840</v>
      </c>
      <c r="C76" s="48" t="s">
        <v>1975</v>
      </c>
      <c r="D76" s="48" t="s">
        <v>1976</v>
      </c>
      <c r="E76" s="48" t="s">
        <v>1979</v>
      </c>
      <c r="F76" s="48" t="s">
        <v>1749</v>
      </c>
      <c r="G76" s="48" t="s">
        <v>1978</v>
      </c>
    </row>
    <row r="77" customFormat="false" ht="15" hidden="false" customHeight="false" outlineLevel="0" collapsed="false">
      <c r="A77" s="48" t="s">
        <v>1980</v>
      </c>
      <c r="B77" s="48" t="s">
        <v>1840</v>
      </c>
      <c r="C77" s="48" t="s">
        <v>1981</v>
      </c>
      <c r="D77" s="48" t="s">
        <v>1982</v>
      </c>
      <c r="E77" s="48" t="s">
        <v>1983</v>
      </c>
      <c r="F77" s="48" t="s">
        <v>1749</v>
      </c>
      <c r="G77" s="48" t="s">
        <v>1709</v>
      </c>
    </row>
    <row r="78" customFormat="false" ht="15" hidden="false" customHeight="false" outlineLevel="0" collapsed="false">
      <c r="A78" s="48" t="s">
        <v>1984</v>
      </c>
      <c r="B78" s="48" t="s">
        <v>1840</v>
      </c>
      <c r="C78" s="48" t="s">
        <v>1985</v>
      </c>
      <c r="D78" s="48" t="s">
        <v>1986</v>
      </c>
      <c r="E78" s="48" t="s">
        <v>1987</v>
      </c>
      <c r="F78" s="48" t="s">
        <v>22</v>
      </c>
      <c r="G78" s="48" t="s">
        <v>1988</v>
      </c>
    </row>
    <row r="79" customFormat="false" ht="15" hidden="false" customHeight="false" outlineLevel="0" collapsed="false">
      <c r="A79" s="48" t="s">
        <v>1989</v>
      </c>
      <c r="B79" s="48" t="s">
        <v>1840</v>
      </c>
      <c r="C79" s="48" t="s">
        <v>1990</v>
      </c>
      <c r="D79" s="48" t="s">
        <v>1991</v>
      </c>
      <c r="E79" s="48" t="s">
        <v>1992</v>
      </c>
      <c r="F79" s="48" t="s">
        <v>1993</v>
      </c>
      <c r="G79" s="48" t="s">
        <v>1709</v>
      </c>
    </row>
    <row r="80" customFormat="false" ht="15" hidden="false" customHeight="false" outlineLevel="0" collapsed="false">
      <c r="A80" s="48" t="s">
        <v>1994</v>
      </c>
      <c r="B80" s="48" t="s">
        <v>1840</v>
      </c>
      <c r="C80" s="48" t="s">
        <v>1995</v>
      </c>
      <c r="D80" s="48" t="s">
        <v>1996</v>
      </c>
      <c r="E80" s="48" t="s">
        <v>1997</v>
      </c>
      <c r="F80" s="48" t="s">
        <v>1729</v>
      </c>
      <c r="G80" s="48" t="s">
        <v>1709</v>
      </c>
    </row>
    <row r="81" customFormat="false" ht="15" hidden="false" customHeight="false" outlineLevel="0" collapsed="false">
      <c r="A81" s="48" t="s">
        <v>1998</v>
      </c>
      <c r="B81" s="48" t="s">
        <v>1840</v>
      </c>
      <c r="C81" s="48" t="s">
        <v>1999</v>
      </c>
      <c r="D81" s="48" t="s">
        <v>2000</v>
      </c>
      <c r="E81" s="48" t="s">
        <v>2001</v>
      </c>
      <c r="F81" s="48" t="s">
        <v>1749</v>
      </c>
      <c r="G81" s="48" t="s">
        <v>1709</v>
      </c>
    </row>
    <row r="82" customFormat="false" ht="15" hidden="false" customHeight="false" outlineLevel="0" collapsed="false">
      <c r="A82" s="48" t="s">
        <v>2002</v>
      </c>
      <c r="B82" s="48" t="s">
        <v>1840</v>
      </c>
      <c r="C82" s="48" t="s">
        <v>2003</v>
      </c>
      <c r="D82" s="48" t="s">
        <v>1747</v>
      </c>
      <c r="E82" s="48" t="s">
        <v>1748</v>
      </c>
      <c r="F82" s="48" t="s">
        <v>1749</v>
      </c>
      <c r="G82" s="48" t="s">
        <v>1709</v>
      </c>
    </row>
    <row r="83" customFormat="false" ht="15" hidden="false" customHeight="false" outlineLevel="0" collapsed="false">
      <c r="A83" s="48" t="s">
        <v>2004</v>
      </c>
      <c r="B83" s="48" t="s">
        <v>1840</v>
      </c>
      <c r="C83" s="48" t="s">
        <v>2005</v>
      </c>
      <c r="D83" s="48" t="s">
        <v>2006</v>
      </c>
      <c r="E83" s="48" t="s">
        <v>2007</v>
      </c>
      <c r="F83" s="48" t="s">
        <v>1806</v>
      </c>
      <c r="G83" s="48" t="s">
        <v>1709</v>
      </c>
    </row>
    <row r="84" customFormat="false" ht="15" hidden="false" customHeight="false" outlineLevel="0" collapsed="false">
      <c r="A84" s="48" t="s">
        <v>2008</v>
      </c>
      <c r="B84" s="48" t="s">
        <v>1840</v>
      </c>
      <c r="C84" s="48" t="s">
        <v>2009</v>
      </c>
      <c r="D84" s="48" t="s">
        <v>1862</v>
      </c>
      <c r="E84" s="48" t="s">
        <v>2010</v>
      </c>
      <c r="F84" s="48" t="s">
        <v>1749</v>
      </c>
      <c r="G84" s="48" t="s">
        <v>1978</v>
      </c>
    </row>
    <row r="85" customFormat="false" ht="15" hidden="false" customHeight="false" outlineLevel="0" collapsed="false">
      <c r="A85" s="48" t="s">
        <v>2011</v>
      </c>
      <c r="B85" s="48" t="s">
        <v>1840</v>
      </c>
      <c r="C85" s="48" t="s">
        <v>2012</v>
      </c>
      <c r="D85" s="48" t="s">
        <v>1780</v>
      </c>
      <c r="E85" s="48" t="s">
        <v>2013</v>
      </c>
      <c r="F85" s="48" t="s">
        <v>1749</v>
      </c>
      <c r="G85" s="48" t="s">
        <v>1709</v>
      </c>
    </row>
    <row r="86" customFormat="false" ht="15" hidden="false" customHeight="false" outlineLevel="0" collapsed="false">
      <c r="A86" s="48" t="s">
        <v>2014</v>
      </c>
      <c r="B86" s="48" t="s">
        <v>1840</v>
      </c>
      <c r="C86" s="48" t="s">
        <v>2015</v>
      </c>
      <c r="D86" s="48" t="s">
        <v>2016</v>
      </c>
      <c r="E86" s="48" t="s">
        <v>2017</v>
      </c>
      <c r="F86" s="48" t="s">
        <v>1749</v>
      </c>
      <c r="G86" s="48" t="s">
        <v>1709</v>
      </c>
    </row>
    <row r="87" customFormat="false" ht="15" hidden="false" customHeight="false" outlineLevel="0" collapsed="false">
      <c r="A87" s="48" t="s">
        <v>2018</v>
      </c>
      <c r="B87" s="48" t="s">
        <v>1840</v>
      </c>
      <c r="C87" s="48" t="s">
        <v>2019</v>
      </c>
      <c r="D87" s="48" t="s">
        <v>1786</v>
      </c>
      <c r="E87" s="48" t="s">
        <v>2020</v>
      </c>
      <c r="F87" s="48" t="s">
        <v>1788</v>
      </c>
      <c r="G87" s="48" t="s">
        <v>1703</v>
      </c>
    </row>
    <row r="88" customFormat="false" ht="15" hidden="false" customHeight="false" outlineLevel="0" collapsed="false">
      <c r="A88" s="48" t="s">
        <v>2021</v>
      </c>
      <c r="B88" s="48" t="s">
        <v>1840</v>
      </c>
      <c r="C88" s="48" t="s">
        <v>2022</v>
      </c>
      <c r="D88" s="48" t="s">
        <v>2023</v>
      </c>
      <c r="E88" s="48" t="s">
        <v>2024</v>
      </c>
      <c r="F88" s="48" t="s">
        <v>1754</v>
      </c>
      <c r="G88" s="48" t="s">
        <v>1709</v>
      </c>
    </row>
    <row r="89" customFormat="false" ht="15" hidden="false" customHeight="false" outlineLevel="0" collapsed="false">
      <c r="A89" s="48" t="s">
        <v>2025</v>
      </c>
      <c r="B89" s="48" t="s">
        <v>1840</v>
      </c>
      <c r="C89" s="48" t="s">
        <v>2026</v>
      </c>
      <c r="D89" s="48" t="s">
        <v>2027</v>
      </c>
      <c r="E89" s="48" t="s">
        <v>2028</v>
      </c>
      <c r="F89" s="48" t="s">
        <v>1777</v>
      </c>
      <c r="G89" s="48" t="s">
        <v>1709</v>
      </c>
    </row>
    <row r="90" customFormat="false" ht="15" hidden="false" customHeight="false" outlineLevel="0" collapsed="false">
      <c r="A90" s="48" t="s">
        <v>2025</v>
      </c>
      <c r="B90" s="48" t="s">
        <v>1840</v>
      </c>
      <c r="C90" s="48" t="s">
        <v>2026</v>
      </c>
      <c r="D90" s="48" t="s">
        <v>2027</v>
      </c>
      <c r="E90" s="48" t="s">
        <v>2029</v>
      </c>
      <c r="F90" s="48" t="s">
        <v>1777</v>
      </c>
      <c r="G90" s="48" t="s">
        <v>1709</v>
      </c>
    </row>
    <row r="91" customFormat="false" ht="15" hidden="false" customHeight="false" outlineLevel="0" collapsed="false">
      <c r="A91" s="48" t="s">
        <v>2030</v>
      </c>
      <c r="B91" s="48" t="s">
        <v>1840</v>
      </c>
      <c r="C91" s="48" t="s">
        <v>2031</v>
      </c>
      <c r="D91" s="48" t="s">
        <v>1737</v>
      </c>
      <c r="E91" s="48" t="s">
        <v>2032</v>
      </c>
      <c r="F91" s="48" t="s">
        <v>1739</v>
      </c>
      <c r="G91" s="48" t="s">
        <v>1709</v>
      </c>
    </row>
    <row r="92" customFormat="false" ht="15" hidden="false" customHeight="false" outlineLevel="0" collapsed="false">
      <c r="A92" s="48" t="s">
        <v>2033</v>
      </c>
      <c r="B92" s="48" t="s">
        <v>1840</v>
      </c>
      <c r="C92" s="48" t="s">
        <v>2034</v>
      </c>
      <c r="D92" s="48" t="s">
        <v>2035</v>
      </c>
      <c r="E92" s="48" t="s">
        <v>2036</v>
      </c>
      <c r="F92" s="48" t="s">
        <v>1913</v>
      </c>
      <c r="G92" s="48" t="s">
        <v>1703</v>
      </c>
    </row>
    <row r="93" customFormat="false" ht="22.35" hidden="false" customHeight="false" outlineLevel="0" collapsed="false">
      <c r="A93" s="48" t="s">
        <v>2037</v>
      </c>
      <c r="B93" s="48" t="s">
        <v>1840</v>
      </c>
      <c r="C93" s="48" t="s">
        <v>2038</v>
      </c>
      <c r="D93" s="48" t="s">
        <v>1849</v>
      </c>
      <c r="E93" s="48" t="s">
        <v>2039</v>
      </c>
      <c r="F93" s="48" t="s">
        <v>1777</v>
      </c>
      <c r="G93" s="48" t="s">
        <v>1709</v>
      </c>
    </row>
    <row r="94" customFormat="false" ht="15" hidden="false" customHeight="false" outlineLevel="0" collapsed="false">
      <c r="A94" s="48" t="s">
        <v>2040</v>
      </c>
      <c r="B94" s="48" t="s">
        <v>1840</v>
      </c>
      <c r="C94" s="48" t="s">
        <v>2041</v>
      </c>
      <c r="D94" s="48" t="s">
        <v>2042</v>
      </c>
      <c r="E94" s="48" t="s">
        <v>2043</v>
      </c>
      <c r="F94" s="48" t="s">
        <v>1729</v>
      </c>
      <c r="G94" s="48" t="s">
        <v>1709</v>
      </c>
    </row>
    <row r="95" customFormat="false" ht="22.35" hidden="false" customHeight="false" outlineLevel="0" collapsed="false">
      <c r="A95" s="48" t="s">
        <v>2044</v>
      </c>
      <c r="B95" s="48" t="s">
        <v>1840</v>
      </c>
      <c r="C95" s="48" t="s">
        <v>2045</v>
      </c>
      <c r="D95" s="48" t="s">
        <v>1849</v>
      </c>
      <c r="E95" s="48" t="s">
        <v>2046</v>
      </c>
      <c r="F95" s="48" t="s">
        <v>1777</v>
      </c>
      <c r="G95" s="48" t="s">
        <v>1709</v>
      </c>
    </row>
    <row r="96" customFormat="false" ht="15" hidden="false" customHeight="false" outlineLevel="0" collapsed="false">
      <c r="A96" s="48" t="s">
        <v>2047</v>
      </c>
      <c r="B96" s="48" t="s">
        <v>1840</v>
      </c>
      <c r="C96" s="48" t="s">
        <v>2048</v>
      </c>
      <c r="D96" s="48" t="s">
        <v>1771</v>
      </c>
      <c r="E96" s="48" t="s">
        <v>2049</v>
      </c>
      <c r="F96" s="48" t="s">
        <v>1729</v>
      </c>
      <c r="G96" s="48" t="s">
        <v>1709</v>
      </c>
    </row>
    <row r="97" customFormat="false" ht="15" hidden="false" customHeight="false" outlineLevel="0" collapsed="false">
      <c r="A97" s="48" t="s">
        <v>2050</v>
      </c>
      <c r="B97" s="48" t="s">
        <v>1840</v>
      </c>
      <c r="C97" s="48" t="s">
        <v>2051</v>
      </c>
      <c r="D97" s="48" t="s">
        <v>1791</v>
      </c>
      <c r="E97" s="48" t="s">
        <v>2052</v>
      </c>
      <c r="F97" s="48" t="s">
        <v>1749</v>
      </c>
      <c r="G97" s="48" t="s">
        <v>1709</v>
      </c>
    </row>
    <row r="98" customFormat="false" ht="22.35" hidden="false" customHeight="false" outlineLevel="0" collapsed="false">
      <c r="A98" s="48" t="s">
        <v>2053</v>
      </c>
      <c r="B98" s="48" t="s">
        <v>1840</v>
      </c>
      <c r="C98" s="48" t="s">
        <v>2054</v>
      </c>
      <c r="D98" s="48" t="s">
        <v>2055</v>
      </c>
      <c r="E98" s="48" t="s">
        <v>2056</v>
      </c>
      <c r="F98" s="48" t="s">
        <v>1729</v>
      </c>
      <c r="G98" s="48" t="s">
        <v>1709</v>
      </c>
    </row>
    <row r="99" customFormat="false" ht="15" hidden="false" customHeight="false" outlineLevel="0" collapsed="false">
      <c r="A99" s="48" t="s">
        <v>2057</v>
      </c>
      <c r="B99" s="48" t="s">
        <v>1840</v>
      </c>
      <c r="C99" s="48" t="s">
        <v>2058</v>
      </c>
      <c r="D99" s="48" t="s">
        <v>1821</v>
      </c>
      <c r="E99" s="48" t="s">
        <v>2059</v>
      </c>
      <c r="F99" s="48" t="s">
        <v>1806</v>
      </c>
      <c r="G99" s="48" t="s">
        <v>1709</v>
      </c>
    </row>
    <row r="100" customFormat="false" ht="15" hidden="false" customHeight="false" outlineLevel="0" collapsed="false">
      <c r="A100" s="48" t="s">
        <v>2060</v>
      </c>
      <c r="B100" s="48" t="s">
        <v>1840</v>
      </c>
      <c r="C100" s="48" t="s">
        <v>2061</v>
      </c>
      <c r="D100" s="48" t="s">
        <v>1830</v>
      </c>
      <c r="E100" s="48" t="s">
        <v>2062</v>
      </c>
      <c r="F100" s="48" t="s">
        <v>1715</v>
      </c>
      <c r="G100" s="48" t="s">
        <v>1801</v>
      </c>
    </row>
    <row r="101" customFormat="false" ht="15" hidden="false" customHeight="false" outlineLevel="0" collapsed="false">
      <c r="A101" s="48" t="s">
        <v>2063</v>
      </c>
      <c r="B101" s="48" t="s">
        <v>1840</v>
      </c>
      <c r="C101" s="48" t="s">
        <v>2064</v>
      </c>
      <c r="D101" s="48" t="s">
        <v>2035</v>
      </c>
      <c r="E101" s="48" t="s">
        <v>2065</v>
      </c>
      <c r="F101" s="48" t="s">
        <v>1913</v>
      </c>
      <c r="G101" s="48" t="s">
        <v>1709</v>
      </c>
    </row>
    <row r="102" customFormat="false" ht="15" hidden="false" customHeight="false" outlineLevel="0" collapsed="false">
      <c r="A102" s="48" t="s">
        <v>2066</v>
      </c>
      <c r="B102" s="48" t="s">
        <v>1840</v>
      </c>
      <c r="C102" s="48" t="s">
        <v>2067</v>
      </c>
      <c r="D102" s="48" t="s">
        <v>2068</v>
      </c>
      <c r="E102" s="48" t="s">
        <v>2069</v>
      </c>
      <c r="F102" s="48" t="s">
        <v>1749</v>
      </c>
      <c r="G102" s="48" t="s">
        <v>1703</v>
      </c>
    </row>
    <row r="103" customFormat="false" ht="15" hidden="false" customHeight="false" outlineLevel="0" collapsed="false">
      <c r="A103" s="48" t="s">
        <v>2070</v>
      </c>
      <c r="B103" s="48" t="s">
        <v>1840</v>
      </c>
      <c r="C103" s="48" t="s">
        <v>2071</v>
      </c>
      <c r="D103" s="48" t="s">
        <v>2072</v>
      </c>
      <c r="E103" s="48" t="s">
        <v>2073</v>
      </c>
      <c r="F103" s="48" t="s">
        <v>1913</v>
      </c>
      <c r="G103" s="48" t="s">
        <v>1709</v>
      </c>
    </row>
    <row r="104" customFormat="false" ht="15" hidden="false" customHeight="false" outlineLevel="0" collapsed="false">
      <c r="A104" s="48" t="s">
        <v>2074</v>
      </c>
      <c r="B104" s="48" t="s">
        <v>1840</v>
      </c>
      <c r="C104" s="48" t="s">
        <v>2075</v>
      </c>
      <c r="D104" s="48" t="s">
        <v>2076</v>
      </c>
      <c r="E104" s="48" t="s">
        <v>2077</v>
      </c>
      <c r="F104" s="48" t="s">
        <v>1754</v>
      </c>
      <c r="G104" s="48" t="s">
        <v>1709</v>
      </c>
    </row>
    <row r="105" customFormat="false" ht="15" hidden="false" customHeight="false" outlineLevel="0" collapsed="false">
      <c r="A105" s="48" t="s">
        <v>2078</v>
      </c>
      <c r="B105" s="48" t="s">
        <v>1840</v>
      </c>
      <c r="C105" s="48" t="s">
        <v>2079</v>
      </c>
      <c r="D105" s="48" t="s">
        <v>1791</v>
      </c>
      <c r="E105" s="48" t="s">
        <v>2080</v>
      </c>
      <c r="F105" s="48" t="s">
        <v>1749</v>
      </c>
      <c r="G105" s="48" t="s">
        <v>1709</v>
      </c>
    </row>
    <row r="106" customFormat="false" ht="15" hidden="false" customHeight="false" outlineLevel="0" collapsed="false">
      <c r="A106" s="48" t="s">
        <v>2081</v>
      </c>
      <c r="B106" s="48" t="s">
        <v>1840</v>
      </c>
      <c r="C106" s="48" t="s">
        <v>2082</v>
      </c>
      <c r="D106" s="48" t="s">
        <v>1976</v>
      </c>
      <c r="E106" s="48" t="s">
        <v>1977</v>
      </c>
      <c r="F106" s="48" t="s">
        <v>1749</v>
      </c>
      <c r="G106" s="48" t="s">
        <v>1978</v>
      </c>
    </row>
    <row r="107" customFormat="false" ht="15" hidden="false" customHeight="false" outlineLevel="0" collapsed="false">
      <c r="A107" s="48" t="s">
        <v>2083</v>
      </c>
      <c r="B107" s="48" t="s">
        <v>1840</v>
      </c>
      <c r="C107" s="48" t="s">
        <v>2084</v>
      </c>
      <c r="D107" s="48" t="s">
        <v>2085</v>
      </c>
      <c r="E107" s="48" t="s">
        <v>2086</v>
      </c>
      <c r="F107" s="48" t="s">
        <v>1749</v>
      </c>
      <c r="G107" s="48" t="s">
        <v>1709</v>
      </c>
    </row>
    <row r="108" customFormat="false" ht="15" hidden="false" customHeight="false" outlineLevel="0" collapsed="false">
      <c r="A108" s="48" t="s">
        <v>2087</v>
      </c>
      <c r="B108" s="48" t="s">
        <v>1840</v>
      </c>
      <c r="C108" s="48" t="s">
        <v>2088</v>
      </c>
      <c r="D108" s="48" t="s">
        <v>2089</v>
      </c>
      <c r="E108" s="48" t="s">
        <v>1838</v>
      </c>
      <c r="F108" s="48" t="s">
        <v>79</v>
      </c>
      <c r="G108" s="48" t="s">
        <v>1801</v>
      </c>
    </row>
    <row r="109" customFormat="false" ht="15" hidden="false" customHeight="false" outlineLevel="0" collapsed="false">
      <c r="A109" s="48" t="s">
        <v>2090</v>
      </c>
      <c r="B109" s="48" t="s">
        <v>1840</v>
      </c>
      <c r="C109" s="48" t="s">
        <v>2091</v>
      </c>
      <c r="D109" s="48" t="s">
        <v>2092</v>
      </c>
      <c r="E109" s="48" t="s">
        <v>2093</v>
      </c>
      <c r="F109" s="48" t="s">
        <v>1913</v>
      </c>
      <c r="G109" s="48" t="s">
        <v>1709</v>
      </c>
    </row>
    <row r="110" customFormat="false" ht="15" hidden="false" customHeight="false" outlineLevel="0" collapsed="false">
      <c r="A110" s="48" t="s">
        <v>2094</v>
      </c>
      <c r="B110" s="48" t="s">
        <v>1840</v>
      </c>
      <c r="C110" s="48" t="s">
        <v>2095</v>
      </c>
      <c r="D110" s="48" t="s">
        <v>2096</v>
      </c>
      <c r="E110" s="48" t="s">
        <v>2097</v>
      </c>
      <c r="F110" s="48" t="s">
        <v>1749</v>
      </c>
      <c r="G110" s="48" t="s">
        <v>1709</v>
      </c>
    </row>
    <row r="111" customFormat="false" ht="15" hidden="false" customHeight="false" outlineLevel="0" collapsed="false">
      <c r="A111" s="48" t="s">
        <v>2098</v>
      </c>
      <c r="B111" s="48" t="s">
        <v>1840</v>
      </c>
      <c r="C111" s="48" t="s">
        <v>2099</v>
      </c>
      <c r="D111" s="48" t="s">
        <v>2100</v>
      </c>
      <c r="E111" s="48" t="s">
        <v>2101</v>
      </c>
      <c r="F111" s="48" t="s">
        <v>22</v>
      </c>
      <c r="G111" s="48" t="s">
        <v>1703</v>
      </c>
    </row>
    <row r="112" customFormat="false" ht="15" hidden="false" customHeight="false" outlineLevel="0" collapsed="false">
      <c r="A112" s="48" t="s">
        <v>2102</v>
      </c>
      <c r="B112" s="48" t="s">
        <v>1840</v>
      </c>
      <c r="C112" s="48" t="s">
        <v>2103</v>
      </c>
      <c r="D112" s="48" t="s">
        <v>1747</v>
      </c>
      <c r="E112" s="48" t="s">
        <v>2104</v>
      </c>
      <c r="F112" s="48" t="s">
        <v>1749</v>
      </c>
      <c r="G112" s="48" t="s">
        <v>1703</v>
      </c>
    </row>
    <row r="113" customFormat="false" ht="15" hidden="false" customHeight="false" outlineLevel="0" collapsed="false">
      <c r="A113" s="48" t="s">
        <v>2105</v>
      </c>
      <c r="B113" s="48" t="s">
        <v>1840</v>
      </c>
      <c r="C113" s="48" t="s">
        <v>2106</v>
      </c>
      <c r="D113" s="48" t="s">
        <v>1775</v>
      </c>
      <c r="E113" s="48" t="s">
        <v>2107</v>
      </c>
      <c r="F113" s="48" t="s">
        <v>1777</v>
      </c>
      <c r="G113" s="48" t="s">
        <v>1709</v>
      </c>
    </row>
    <row r="114" customFormat="false" ht="15" hidden="false" customHeight="false" outlineLevel="0" collapsed="false">
      <c r="A114" s="48" t="s">
        <v>2108</v>
      </c>
      <c r="B114" s="48" t="s">
        <v>1840</v>
      </c>
      <c r="C114" s="48" t="s">
        <v>2109</v>
      </c>
      <c r="D114" s="48" t="s">
        <v>2110</v>
      </c>
      <c r="E114" s="48" t="s">
        <v>2111</v>
      </c>
      <c r="F114" s="48" t="s">
        <v>1729</v>
      </c>
      <c r="G114" s="48" t="s">
        <v>1703</v>
      </c>
    </row>
    <row r="115" customFormat="false" ht="15" hidden="false" customHeight="false" outlineLevel="0" collapsed="false">
      <c r="A115" s="48" t="s">
        <v>2112</v>
      </c>
      <c r="B115" s="48" t="s">
        <v>1840</v>
      </c>
      <c r="C115" s="48" t="s">
        <v>2113</v>
      </c>
      <c r="D115" s="48" t="s">
        <v>2000</v>
      </c>
      <c r="E115" s="48" t="s">
        <v>2114</v>
      </c>
      <c r="F115" s="48" t="s">
        <v>1749</v>
      </c>
      <c r="G115" s="48" t="s">
        <v>1703</v>
      </c>
    </row>
    <row r="116" customFormat="false" ht="15" hidden="false" customHeight="false" outlineLevel="0" collapsed="false">
      <c r="A116" s="48" t="s">
        <v>2115</v>
      </c>
      <c r="B116" s="48" t="s">
        <v>1840</v>
      </c>
      <c r="C116" s="48" t="s">
        <v>2116</v>
      </c>
      <c r="D116" s="48" t="s">
        <v>1706</v>
      </c>
      <c r="E116" s="48" t="s">
        <v>2117</v>
      </c>
      <c r="F116" s="48" t="s">
        <v>1708</v>
      </c>
      <c r="G116" s="48" t="s">
        <v>1709</v>
      </c>
    </row>
    <row r="117" customFormat="false" ht="15" hidden="false" customHeight="false" outlineLevel="0" collapsed="false">
      <c r="A117" s="48" t="s">
        <v>2118</v>
      </c>
      <c r="B117" s="48" t="s">
        <v>1840</v>
      </c>
      <c r="C117" s="48" t="s">
        <v>2119</v>
      </c>
      <c r="D117" s="48" t="s">
        <v>2120</v>
      </c>
      <c r="E117" s="48" t="s">
        <v>2121</v>
      </c>
      <c r="F117" s="48" t="s">
        <v>1806</v>
      </c>
      <c r="G117" s="48" t="s">
        <v>1703</v>
      </c>
    </row>
    <row r="118" customFormat="false" ht="22.35" hidden="false" customHeight="false" outlineLevel="0" collapsed="false">
      <c r="A118" s="48" t="s">
        <v>2122</v>
      </c>
      <c r="B118" s="48" t="s">
        <v>1840</v>
      </c>
      <c r="C118" s="48" t="s">
        <v>2123</v>
      </c>
      <c r="D118" s="48" t="s">
        <v>2124</v>
      </c>
      <c r="E118" s="48" t="s">
        <v>2125</v>
      </c>
      <c r="F118" s="48" t="s">
        <v>2126</v>
      </c>
      <c r="G118" s="48" t="s">
        <v>1709</v>
      </c>
    </row>
    <row r="119" customFormat="false" ht="15" hidden="false" customHeight="false" outlineLevel="0" collapsed="false">
      <c r="A119" s="48" t="s">
        <v>2127</v>
      </c>
      <c r="B119" s="48" t="s">
        <v>1840</v>
      </c>
      <c r="C119" s="48" t="s">
        <v>2128</v>
      </c>
      <c r="D119" s="48" t="s">
        <v>2124</v>
      </c>
      <c r="E119" s="48" t="s">
        <v>2129</v>
      </c>
      <c r="F119" s="48" t="s">
        <v>2126</v>
      </c>
      <c r="G119" s="48" t="s">
        <v>1709</v>
      </c>
    </row>
    <row r="120" customFormat="false" ht="15" hidden="false" customHeight="false" outlineLevel="0" collapsed="false">
      <c r="A120" s="48" t="s">
        <v>2130</v>
      </c>
      <c r="B120" s="48" t="s">
        <v>1840</v>
      </c>
      <c r="C120" s="48" t="s">
        <v>2131</v>
      </c>
      <c r="D120" s="48" t="s">
        <v>2110</v>
      </c>
      <c r="E120" s="48" t="s">
        <v>2132</v>
      </c>
      <c r="F120" s="48" t="s">
        <v>1729</v>
      </c>
      <c r="G120" s="48" t="s">
        <v>1709</v>
      </c>
    </row>
    <row r="121" customFormat="false" ht="15" hidden="false" customHeight="false" outlineLevel="0" collapsed="false">
      <c r="A121" s="48" t="s">
        <v>2133</v>
      </c>
      <c r="B121" s="48" t="s">
        <v>1840</v>
      </c>
      <c r="C121" s="48" t="s">
        <v>2134</v>
      </c>
      <c r="D121" s="48" t="s">
        <v>1862</v>
      </c>
      <c r="E121" s="48" t="s">
        <v>2135</v>
      </c>
      <c r="F121" s="48" t="s">
        <v>1749</v>
      </c>
      <c r="G121" s="48" t="s">
        <v>1703</v>
      </c>
    </row>
    <row r="122" customFormat="false" ht="15" hidden="false" customHeight="false" outlineLevel="0" collapsed="false">
      <c r="A122" s="48" t="s">
        <v>2136</v>
      </c>
      <c r="B122" s="48" t="s">
        <v>1840</v>
      </c>
      <c r="C122" s="48" t="s">
        <v>2137</v>
      </c>
      <c r="D122" s="48" t="s">
        <v>2138</v>
      </c>
      <c r="E122" s="48" t="s">
        <v>2139</v>
      </c>
      <c r="F122" s="48" t="s">
        <v>1818</v>
      </c>
      <c r="G122" s="48" t="s">
        <v>1703</v>
      </c>
    </row>
    <row r="123" customFormat="false" ht="15" hidden="false" customHeight="false" outlineLevel="0" collapsed="false">
      <c r="A123" s="48" t="s">
        <v>2140</v>
      </c>
      <c r="B123" s="48" t="s">
        <v>1840</v>
      </c>
      <c r="C123" s="48" t="s">
        <v>2141</v>
      </c>
      <c r="D123" s="48" t="s">
        <v>2142</v>
      </c>
      <c r="E123" s="48" t="s">
        <v>2143</v>
      </c>
      <c r="F123" s="48" t="s">
        <v>1913</v>
      </c>
      <c r="G123" s="48" t="s">
        <v>1709</v>
      </c>
    </row>
    <row r="124" customFormat="false" ht="15" hidden="false" customHeight="false" outlineLevel="0" collapsed="false">
      <c r="A124" s="48" t="s">
        <v>2144</v>
      </c>
      <c r="B124" s="48" t="s">
        <v>1840</v>
      </c>
      <c r="C124" s="48" t="s">
        <v>2145</v>
      </c>
      <c r="D124" s="48" t="s">
        <v>2146</v>
      </c>
      <c r="E124" s="48" t="s">
        <v>2147</v>
      </c>
      <c r="F124" s="48" t="s">
        <v>22</v>
      </c>
      <c r="G124" s="48" t="s">
        <v>1988</v>
      </c>
    </row>
    <row r="125" customFormat="false" ht="15" hidden="false" customHeight="false" outlineLevel="0" collapsed="false">
      <c r="A125" s="48" t="s">
        <v>2148</v>
      </c>
      <c r="B125" s="48" t="s">
        <v>1840</v>
      </c>
      <c r="C125" s="48" t="s">
        <v>2149</v>
      </c>
      <c r="D125" s="48" t="s">
        <v>1830</v>
      </c>
      <c r="E125" s="48" t="s">
        <v>2150</v>
      </c>
      <c r="F125" s="48" t="s">
        <v>1715</v>
      </c>
      <c r="G125" s="48" t="s">
        <v>1709</v>
      </c>
    </row>
    <row r="126" customFormat="false" ht="22.35" hidden="false" customHeight="false" outlineLevel="0" collapsed="false">
      <c r="A126" s="48" t="s">
        <v>2151</v>
      </c>
      <c r="B126" s="48" t="s">
        <v>1840</v>
      </c>
      <c r="C126" s="48" t="s">
        <v>2152</v>
      </c>
      <c r="D126" s="48" t="s">
        <v>1830</v>
      </c>
      <c r="E126" s="48" t="s">
        <v>2153</v>
      </c>
      <c r="F126" s="48" t="s">
        <v>1715</v>
      </c>
      <c r="G126" s="48" t="s">
        <v>1703</v>
      </c>
    </row>
    <row r="127" customFormat="false" ht="15" hidden="false" customHeight="false" outlineLevel="0" collapsed="false">
      <c r="A127" s="48" t="s">
        <v>2154</v>
      </c>
      <c r="B127" s="48" t="s">
        <v>1840</v>
      </c>
      <c r="C127" s="48" t="s">
        <v>2155</v>
      </c>
      <c r="D127" s="48" t="s">
        <v>1767</v>
      </c>
      <c r="E127" s="48" t="s">
        <v>2156</v>
      </c>
      <c r="F127" s="48" t="s">
        <v>1729</v>
      </c>
      <c r="G127" s="48" t="s">
        <v>1709</v>
      </c>
    </row>
    <row r="128" customFormat="false" ht="15" hidden="false" customHeight="false" outlineLevel="0" collapsed="false">
      <c r="A128" s="48" t="s">
        <v>2154</v>
      </c>
      <c r="B128" s="48" t="s">
        <v>1840</v>
      </c>
      <c r="C128" s="48" t="s">
        <v>2155</v>
      </c>
      <c r="D128" s="48" t="s">
        <v>1767</v>
      </c>
      <c r="E128" s="48" t="s">
        <v>2157</v>
      </c>
      <c r="F128" s="48" t="s">
        <v>1729</v>
      </c>
      <c r="G128" s="48" t="s">
        <v>1709</v>
      </c>
    </row>
    <row r="129" customFormat="false" ht="15" hidden="false" customHeight="false" outlineLevel="0" collapsed="false">
      <c r="A129" s="48" t="s">
        <v>2158</v>
      </c>
      <c r="B129" s="48" t="s">
        <v>1840</v>
      </c>
      <c r="C129" s="48" t="s">
        <v>2159</v>
      </c>
      <c r="D129" s="48" t="s">
        <v>1862</v>
      </c>
      <c r="E129" s="48" t="s">
        <v>2160</v>
      </c>
      <c r="F129" s="48" t="s">
        <v>1749</v>
      </c>
      <c r="G129" s="48" t="s">
        <v>1978</v>
      </c>
    </row>
    <row r="130" customFormat="false" ht="15" hidden="false" customHeight="false" outlineLevel="0" collapsed="false">
      <c r="A130" s="48" t="s">
        <v>2161</v>
      </c>
      <c r="B130" s="48" t="s">
        <v>1840</v>
      </c>
      <c r="C130" s="48" t="s">
        <v>2162</v>
      </c>
      <c r="D130" s="48" t="s">
        <v>2163</v>
      </c>
      <c r="E130" s="48" t="s">
        <v>2164</v>
      </c>
      <c r="F130" s="48" t="s">
        <v>86</v>
      </c>
      <c r="G130" s="48" t="s">
        <v>1709</v>
      </c>
    </row>
    <row r="131" customFormat="false" ht="15" hidden="false" customHeight="false" outlineLevel="0" collapsed="false">
      <c r="A131" s="48" t="s">
        <v>2165</v>
      </c>
      <c r="B131" s="48" t="s">
        <v>1840</v>
      </c>
      <c r="C131" s="48" t="s">
        <v>2166</v>
      </c>
      <c r="D131" s="48" t="s">
        <v>2000</v>
      </c>
      <c r="E131" s="48" t="s">
        <v>2167</v>
      </c>
      <c r="F131" s="48" t="s">
        <v>1749</v>
      </c>
      <c r="G131" s="48" t="s">
        <v>1703</v>
      </c>
    </row>
    <row r="132" customFormat="false" ht="15" hidden="false" customHeight="false" outlineLevel="0" collapsed="false">
      <c r="A132" s="48" t="s">
        <v>2168</v>
      </c>
      <c r="B132" s="48" t="s">
        <v>1840</v>
      </c>
      <c r="C132" s="48" t="s">
        <v>2169</v>
      </c>
      <c r="D132" s="48" t="s">
        <v>2170</v>
      </c>
      <c r="E132" s="48" t="s">
        <v>2171</v>
      </c>
      <c r="F132" s="48" t="s">
        <v>1818</v>
      </c>
      <c r="G132" s="48" t="s">
        <v>1709</v>
      </c>
    </row>
    <row r="133" customFormat="false" ht="15" hidden="false" customHeight="false" outlineLevel="0" collapsed="false">
      <c r="A133" s="48" t="s">
        <v>2168</v>
      </c>
      <c r="B133" s="48" t="s">
        <v>1840</v>
      </c>
      <c r="C133" s="48" t="s">
        <v>2169</v>
      </c>
      <c r="D133" s="48" t="s">
        <v>2170</v>
      </c>
      <c r="E133" s="48" t="s">
        <v>2172</v>
      </c>
      <c r="F133" s="48" t="s">
        <v>1818</v>
      </c>
      <c r="G133" s="48" t="s">
        <v>1709</v>
      </c>
    </row>
    <row r="134" customFormat="false" ht="15" hidden="false" customHeight="false" outlineLevel="0" collapsed="false">
      <c r="A134" s="48" t="s">
        <v>2168</v>
      </c>
      <c r="B134" s="48" t="s">
        <v>1840</v>
      </c>
      <c r="C134" s="48" t="s">
        <v>2169</v>
      </c>
      <c r="D134" s="48" t="s">
        <v>2170</v>
      </c>
      <c r="E134" s="48" t="s">
        <v>2173</v>
      </c>
      <c r="F134" s="48" t="s">
        <v>1818</v>
      </c>
      <c r="G134" s="48" t="s">
        <v>1709</v>
      </c>
    </row>
    <row r="135" customFormat="false" ht="15" hidden="false" customHeight="false" outlineLevel="0" collapsed="false">
      <c r="A135" s="48" t="s">
        <v>2168</v>
      </c>
      <c r="B135" s="48" t="s">
        <v>1840</v>
      </c>
      <c r="C135" s="48" t="s">
        <v>2169</v>
      </c>
      <c r="D135" s="48" t="s">
        <v>2170</v>
      </c>
      <c r="E135" s="48" t="s">
        <v>2174</v>
      </c>
      <c r="F135" s="48" t="s">
        <v>1818</v>
      </c>
      <c r="G135" s="48" t="s">
        <v>1709</v>
      </c>
    </row>
    <row r="136" customFormat="false" ht="15" hidden="false" customHeight="false" outlineLevel="0" collapsed="false">
      <c r="A136" s="48" t="s">
        <v>2168</v>
      </c>
      <c r="B136" s="48" t="s">
        <v>1840</v>
      </c>
      <c r="C136" s="48" t="s">
        <v>2169</v>
      </c>
      <c r="D136" s="48" t="s">
        <v>2170</v>
      </c>
      <c r="E136" s="48" t="s">
        <v>2175</v>
      </c>
      <c r="F136" s="48" t="s">
        <v>1818</v>
      </c>
      <c r="G136" s="48" t="s">
        <v>1709</v>
      </c>
    </row>
    <row r="137" customFormat="false" ht="15" hidden="false" customHeight="false" outlineLevel="0" collapsed="false">
      <c r="A137" s="48" t="s">
        <v>2176</v>
      </c>
      <c r="B137" s="48" t="s">
        <v>1840</v>
      </c>
      <c r="C137" s="48" t="s">
        <v>2177</v>
      </c>
      <c r="D137" s="48" t="s">
        <v>1924</v>
      </c>
      <c r="E137" s="48" t="s">
        <v>2178</v>
      </c>
      <c r="F137" s="48" t="s">
        <v>1749</v>
      </c>
      <c r="G137" s="48" t="s">
        <v>1978</v>
      </c>
    </row>
    <row r="138" customFormat="false" ht="15" hidden="false" customHeight="false" outlineLevel="0" collapsed="false">
      <c r="A138" s="48" t="s">
        <v>1668</v>
      </c>
      <c r="B138" s="48" t="s">
        <v>1840</v>
      </c>
      <c r="C138" s="48" t="s">
        <v>2179</v>
      </c>
      <c r="D138" s="48" t="s">
        <v>2180</v>
      </c>
      <c r="E138" s="48" t="s">
        <v>2181</v>
      </c>
      <c r="F138" s="48" t="s">
        <v>2182</v>
      </c>
      <c r="G138" s="48" t="s">
        <v>1709</v>
      </c>
    </row>
    <row r="139" customFormat="false" ht="15" hidden="false" customHeight="false" outlineLevel="0" collapsed="false">
      <c r="A139" s="48" t="s">
        <v>2183</v>
      </c>
      <c r="B139" s="48" t="s">
        <v>1840</v>
      </c>
      <c r="C139" s="48" t="s">
        <v>2184</v>
      </c>
      <c r="D139" s="48" t="s">
        <v>2170</v>
      </c>
      <c r="E139" s="48" t="s">
        <v>2185</v>
      </c>
      <c r="F139" s="48" t="s">
        <v>1818</v>
      </c>
      <c r="G139" s="48" t="s">
        <v>1709</v>
      </c>
    </row>
    <row r="140" customFormat="false" ht="22.35" hidden="false" customHeight="false" outlineLevel="0" collapsed="false">
      <c r="A140" s="48" t="s">
        <v>2186</v>
      </c>
      <c r="B140" s="48" t="s">
        <v>2187</v>
      </c>
      <c r="C140" s="48" t="s">
        <v>2188</v>
      </c>
      <c r="D140" s="48" t="s">
        <v>2189</v>
      </c>
      <c r="E140" s="48" t="s">
        <v>2190</v>
      </c>
      <c r="F140" s="48" t="s">
        <v>1754</v>
      </c>
      <c r="G140" s="48" t="s">
        <v>1703</v>
      </c>
    </row>
    <row r="141" customFormat="false" ht="15" hidden="false" customHeight="false" outlineLevel="0" collapsed="false">
      <c r="A141" s="48" t="s">
        <v>2191</v>
      </c>
      <c r="B141" s="48" t="s">
        <v>2187</v>
      </c>
      <c r="C141" s="48" t="s">
        <v>2192</v>
      </c>
      <c r="D141" s="48" t="s">
        <v>2193</v>
      </c>
      <c r="E141" s="48" t="s">
        <v>2194</v>
      </c>
      <c r="F141" s="48" t="s">
        <v>22</v>
      </c>
      <c r="G141" s="48" t="s">
        <v>1703</v>
      </c>
    </row>
    <row r="142" customFormat="false" ht="15" hidden="false" customHeight="false" outlineLevel="0" collapsed="false">
      <c r="A142" s="48" t="s">
        <v>2195</v>
      </c>
      <c r="B142" s="48" t="s">
        <v>2187</v>
      </c>
      <c r="C142" s="48" t="s">
        <v>2196</v>
      </c>
      <c r="D142" s="48" t="s">
        <v>2197</v>
      </c>
      <c r="E142" s="48" t="s">
        <v>2198</v>
      </c>
      <c r="F142" s="48" t="s">
        <v>22</v>
      </c>
      <c r="G142" s="48" t="s">
        <v>1703</v>
      </c>
    </row>
    <row r="143" customFormat="false" ht="15" hidden="false" customHeight="false" outlineLevel="0" collapsed="false">
      <c r="A143" s="48" t="s">
        <v>2199</v>
      </c>
      <c r="B143" s="48" t="s">
        <v>2187</v>
      </c>
      <c r="C143" s="48" t="s">
        <v>2200</v>
      </c>
      <c r="D143" s="48" t="s">
        <v>2201</v>
      </c>
      <c r="E143" s="48" t="s">
        <v>2202</v>
      </c>
      <c r="F143" s="48" t="s">
        <v>1749</v>
      </c>
      <c r="G143" s="48" t="s">
        <v>1709</v>
      </c>
    </row>
    <row r="144" customFormat="false" ht="15" hidden="false" customHeight="false" outlineLevel="0" collapsed="false">
      <c r="A144" s="48" t="s">
        <v>2203</v>
      </c>
      <c r="B144" s="48" t="s">
        <v>2187</v>
      </c>
      <c r="C144" s="48" t="s">
        <v>2204</v>
      </c>
      <c r="D144" s="48" t="s">
        <v>2205</v>
      </c>
      <c r="E144" s="48" t="s">
        <v>2206</v>
      </c>
      <c r="F144" s="48" t="s">
        <v>436</v>
      </c>
      <c r="G144" s="48" t="s">
        <v>1801</v>
      </c>
    </row>
    <row r="145" customFormat="false" ht="15" hidden="false" customHeight="false" outlineLevel="0" collapsed="false">
      <c r="A145" s="48" t="s">
        <v>2203</v>
      </c>
      <c r="B145" s="48" t="s">
        <v>2187</v>
      </c>
      <c r="C145" s="48" t="s">
        <v>2204</v>
      </c>
      <c r="D145" s="48" t="s">
        <v>2205</v>
      </c>
      <c r="E145" s="48" t="s">
        <v>2207</v>
      </c>
      <c r="F145" s="48" t="s">
        <v>436</v>
      </c>
      <c r="G145" s="48" t="s">
        <v>1801</v>
      </c>
    </row>
    <row r="146" customFormat="false" ht="15" hidden="false" customHeight="false" outlineLevel="0" collapsed="false">
      <c r="A146" s="48" t="s">
        <v>2208</v>
      </c>
      <c r="B146" s="48" t="s">
        <v>2187</v>
      </c>
      <c r="C146" s="48" t="s">
        <v>2209</v>
      </c>
      <c r="D146" s="48" t="s">
        <v>2210</v>
      </c>
      <c r="E146" s="48" t="s">
        <v>2206</v>
      </c>
      <c r="F146" s="48" t="s">
        <v>436</v>
      </c>
      <c r="G146" s="48" t="s">
        <v>1801</v>
      </c>
    </row>
    <row r="147" customFormat="false" ht="15" hidden="false" customHeight="false" outlineLevel="0" collapsed="false">
      <c r="A147" s="48" t="s">
        <v>2208</v>
      </c>
      <c r="B147" s="48" t="s">
        <v>2187</v>
      </c>
      <c r="C147" s="48" t="s">
        <v>2209</v>
      </c>
      <c r="D147" s="48" t="s">
        <v>2210</v>
      </c>
      <c r="E147" s="48" t="s">
        <v>2207</v>
      </c>
      <c r="F147" s="48" t="s">
        <v>436</v>
      </c>
      <c r="G147" s="48" t="s">
        <v>1801</v>
      </c>
    </row>
    <row r="148" customFormat="false" ht="15" hidden="false" customHeight="false" outlineLevel="0" collapsed="false">
      <c r="A148" s="48" t="s">
        <v>2211</v>
      </c>
      <c r="B148" s="48" t="s">
        <v>2187</v>
      </c>
      <c r="C148" s="48" t="s">
        <v>2212</v>
      </c>
      <c r="D148" s="48" t="s">
        <v>2213</v>
      </c>
      <c r="E148" s="48" t="s">
        <v>2214</v>
      </c>
      <c r="F148" s="48" t="s">
        <v>1754</v>
      </c>
      <c r="G148" s="48" t="s">
        <v>1709</v>
      </c>
    </row>
    <row r="149" customFormat="false" ht="15" hidden="false" customHeight="false" outlineLevel="0" collapsed="false">
      <c r="A149" s="48" t="s">
        <v>2215</v>
      </c>
      <c r="B149" s="48" t="s">
        <v>2187</v>
      </c>
      <c r="C149" s="48" t="s">
        <v>2216</v>
      </c>
      <c r="D149" s="48" t="s">
        <v>2217</v>
      </c>
      <c r="E149" s="48" t="s">
        <v>2218</v>
      </c>
      <c r="F149" s="48" t="s">
        <v>22</v>
      </c>
      <c r="G149" s="48" t="s">
        <v>1801</v>
      </c>
    </row>
    <row r="150" customFormat="false" ht="15" hidden="false" customHeight="false" outlineLevel="0" collapsed="false">
      <c r="A150" s="48" t="s">
        <v>2219</v>
      </c>
      <c r="B150" s="48" t="s">
        <v>2187</v>
      </c>
      <c r="C150" s="48" t="s">
        <v>2220</v>
      </c>
      <c r="D150" s="48" t="s">
        <v>2221</v>
      </c>
      <c r="E150" s="48" t="s">
        <v>2222</v>
      </c>
      <c r="F150" s="48" t="s">
        <v>1913</v>
      </c>
      <c r="G150" s="48" t="s">
        <v>1703</v>
      </c>
    </row>
  </sheetData>
  <autoFilter ref="A4:G1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90"/>
  </cols>
  <sheetData>
    <row r="1" customFormat="false" ht="24" hidden="false" customHeight="true" outlineLevel="0" collapsed="false">
      <c r="A1" s="1" t="s">
        <v>2223</v>
      </c>
    </row>
    <row r="2" customFormat="false" ht="15" hidden="false" customHeight="false" outlineLevel="0" collapsed="false">
      <c r="A2" s="38" t="s">
        <v>2224</v>
      </c>
    </row>
    <row r="4" customFormat="false" ht="30" hidden="false" customHeight="true" outlineLevel="0" collapsed="false">
      <c r="A4" s="47" t="s">
        <v>1094</v>
      </c>
      <c r="B4" s="47" t="s">
        <v>811</v>
      </c>
      <c r="C4" s="47" t="s">
        <v>2225</v>
      </c>
      <c r="D4" s="47" t="s">
        <v>2226</v>
      </c>
    </row>
    <row r="5" customFormat="false" ht="15" hidden="false" customHeight="false" outlineLevel="0" collapsed="false">
      <c r="A5" s="48" t="s">
        <v>2227</v>
      </c>
      <c r="B5" s="48" t="s">
        <v>22</v>
      </c>
      <c r="C5" s="48" t="s">
        <v>2228</v>
      </c>
      <c r="D5" s="48" t="s">
        <v>2229</v>
      </c>
    </row>
    <row r="6" customFormat="false" ht="15" hidden="false" customHeight="false" outlineLevel="0" collapsed="false">
      <c r="A6" s="48" t="s">
        <v>2230</v>
      </c>
      <c r="B6" s="48" t="s">
        <v>528</v>
      </c>
      <c r="C6" s="48" t="s">
        <v>2231</v>
      </c>
      <c r="D6" s="48" t="s">
        <v>2232</v>
      </c>
    </row>
    <row r="7" customFormat="false" ht="15" hidden="false" customHeight="false" outlineLevel="0" collapsed="false">
      <c r="A7" s="48" t="s">
        <v>2233</v>
      </c>
      <c r="B7" s="48" t="s">
        <v>56</v>
      </c>
      <c r="C7" s="48" t="s">
        <v>2234</v>
      </c>
      <c r="D7" s="48" t="s">
        <v>2235</v>
      </c>
    </row>
    <row r="8" customFormat="false" ht="15" hidden="false" customHeight="false" outlineLevel="0" collapsed="false">
      <c r="A8" s="48" t="s">
        <v>2236</v>
      </c>
      <c r="B8" s="48" t="s">
        <v>567</v>
      </c>
      <c r="C8" s="48" t="s">
        <v>2237</v>
      </c>
      <c r="D8" s="48" t="s">
        <v>2238</v>
      </c>
    </row>
    <row r="9" customFormat="false" ht="15" hidden="false" customHeight="false" outlineLevel="0" collapsed="false">
      <c r="A9" s="48" t="s">
        <v>2239</v>
      </c>
      <c r="B9" s="48" t="s">
        <v>734</v>
      </c>
      <c r="C9" s="48" t="s">
        <v>2240</v>
      </c>
      <c r="D9" s="48" t="s">
        <v>2241</v>
      </c>
    </row>
    <row r="10" customFormat="false" ht="15" hidden="false" customHeight="false" outlineLevel="0" collapsed="false">
      <c r="A10" s="48" t="s">
        <v>2242</v>
      </c>
      <c r="B10" s="48" t="s">
        <v>436</v>
      </c>
      <c r="C10" s="48" t="s">
        <v>2243</v>
      </c>
      <c r="D10" s="48" t="s">
        <v>2244</v>
      </c>
    </row>
    <row r="11" customFormat="false" ht="15" hidden="false" customHeight="false" outlineLevel="0" collapsed="false">
      <c r="A11" s="48" t="s">
        <v>2245</v>
      </c>
      <c r="B11" s="48" t="s">
        <v>39</v>
      </c>
      <c r="C11" s="48" t="s">
        <v>2246</v>
      </c>
      <c r="D11" s="48" t="s">
        <v>2247</v>
      </c>
    </row>
    <row r="12" customFormat="false" ht="15" hidden="false" customHeight="false" outlineLevel="0" collapsed="false">
      <c r="A12" s="48" t="s">
        <v>2248</v>
      </c>
      <c r="B12" s="48" t="s">
        <v>86</v>
      </c>
      <c r="C12" s="48" t="s">
        <v>2249</v>
      </c>
      <c r="D12" s="48" t="s">
        <v>2250</v>
      </c>
    </row>
    <row r="13" customFormat="false" ht="15" hidden="false" customHeight="false" outlineLevel="0" collapsed="false">
      <c r="A13" s="48" t="s">
        <v>2251</v>
      </c>
      <c r="B13" s="48" t="s">
        <v>26</v>
      </c>
      <c r="C13" s="48" t="s">
        <v>2252</v>
      </c>
      <c r="D13" s="48" t="s">
        <v>2253</v>
      </c>
    </row>
    <row r="14" customFormat="false" ht="15" hidden="false" customHeight="false" outlineLevel="0" collapsed="false">
      <c r="A14" s="48" t="s">
        <v>2254</v>
      </c>
      <c r="B14" s="48" t="s">
        <v>491</v>
      </c>
      <c r="C14" s="48" t="s">
        <v>2255</v>
      </c>
      <c r="D14" s="48" t="s">
        <v>2256</v>
      </c>
    </row>
    <row r="15" customFormat="false" ht="15" hidden="false" customHeight="false" outlineLevel="0" collapsed="false">
      <c r="A15" s="48" t="s">
        <v>2257</v>
      </c>
      <c r="B15" s="48" t="s">
        <v>1426</v>
      </c>
      <c r="C15" s="48" t="s">
        <v>2258</v>
      </c>
      <c r="D15" s="48" t="s">
        <v>2259</v>
      </c>
    </row>
    <row r="16" customFormat="false" ht="15" hidden="false" customHeight="false" outlineLevel="0" collapsed="false">
      <c r="A16" s="48" t="s">
        <v>2260</v>
      </c>
      <c r="B16" s="48" t="s">
        <v>2261</v>
      </c>
      <c r="C16" s="48" t="s">
        <v>2262</v>
      </c>
      <c r="D16" s="48" t="s">
        <v>2263</v>
      </c>
    </row>
  </sheetData>
  <autoFilter ref="A4:D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4" hidden="false" customHeight="true" outlineLevel="0" collapsed="false">
      <c r="A1" s="1" t="s">
        <v>2264</v>
      </c>
    </row>
    <row r="2" customFormat="false" ht="15" hidden="false" customHeight="false" outlineLevel="0" collapsed="false">
      <c r="A2" s="38" t="s">
        <v>2265</v>
      </c>
    </row>
    <row r="4" customFormat="false" ht="15" hidden="false" customHeight="false" outlineLevel="0" collapsed="false">
      <c r="A4" s="80" t="s">
        <v>2266</v>
      </c>
      <c r="B4" s="81"/>
    </row>
    <row r="5" customFormat="false" ht="15" hidden="false" customHeight="false" outlineLevel="0" collapsed="false">
      <c r="A5" s="82" t="s">
        <v>2267</v>
      </c>
      <c r="B5" s="81" t="s">
        <v>2268</v>
      </c>
    </row>
    <row r="6" customFormat="false" ht="23.85" hidden="false" customHeight="false" outlineLevel="0" collapsed="false">
      <c r="A6" s="82" t="s">
        <v>2269</v>
      </c>
      <c r="B6" s="81" t="s">
        <v>2270</v>
      </c>
    </row>
    <row r="7" customFormat="false" ht="15" hidden="false" customHeight="false" outlineLevel="0" collapsed="false">
      <c r="A7" s="82" t="s">
        <v>2271</v>
      </c>
      <c r="B7" s="81" t="s">
        <v>2272</v>
      </c>
    </row>
    <row r="8" customFormat="false" ht="15" hidden="false" customHeight="false" outlineLevel="0" collapsed="false">
      <c r="A8" s="82"/>
      <c r="B8" s="81"/>
    </row>
    <row r="9" customFormat="false" ht="15" hidden="false" customHeight="false" outlineLevel="0" collapsed="false">
      <c r="A9" s="80" t="s">
        <v>2273</v>
      </c>
      <c r="B9" s="81"/>
    </row>
    <row r="10" customFormat="false" ht="15" hidden="false" customHeight="false" outlineLevel="0" collapsed="false">
      <c r="A10" s="82" t="s">
        <v>2274</v>
      </c>
      <c r="B10" s="81" t="s">
        <v>2275</v>
      </c>
    </row>
    <row r="11" customFormat="false" ht="15" hidden="false" customHeight="false" outlineLevel="0" collapsed="false">
      <c r="A11" s="82" t="s">
        <v>2276</v>
      </c>
      <c r="B11" s="81" t="s">
        <v>2277</v>
      </c>
    </row>
    <row r="12" customFormat="false" ht="15" hidden="false" customHeight="false" outlineLevel="0" collapsed="false">
      <c r="A12" s="82" t="s">
        <v>2278</v>
      </c>
      <c r="B12" s="81" t="s">
        <v>2279</v>
      </c>
    </row>
    <row r="13" customFormat="false" ht="15" hidden="false" customHeight="false" outlineLevel="0" collapsed="false">
      <c r="A13" s="82" t="s">
        <v>2280</v>
      </c>
      <c r="B13" s="81" t="s">
        <v>2281</v>
      </c>
    </row>
    <row r="14" customFormat="false" ht="23.85" hidden="false" customHeight="false" outlineLevel="0" collapsed="false">
      <c r="A14" s="82" t="s">
        <v>2282</v>
      </c>
      <c r="B14" s="81" t="s">
        <v>2283</v>
      </c>
    </row>
    <row r="15" customFormat="false" ht="23.85" hidden="false" customHeight="false" outlineLevel="0" collapsed="false">
      <c r="A15" s="82" t="s">
        <v>2284</v>
      </c>
      <c r="B15" s="81" t="s">
        <v>2285</v>
      </c>
    </row>
    <row r="16" customFormat="false" ht="15" hidden="false" customHeight="false" outlineLevel="0" collapsed="false">
      <c r="A16" s="82" t="s">
        <v>2286</v>
      </c>
      <c r="B16" s="81" t="s">
        <v>2287</v>
      </c>
    </row>
    <row r="17" customFormat="false" ht="15" hidden="false" customHeight="false" outlineLevel="0" collapsed="false">
      <c r="A17" s="82"/>
      <c r="B17" s="81"/>
    </row>
    <row r="18" customFormat="false" ht="15" hidden="false" customHeight="false" outlineLevel="0" collapsed="false">
      <c r="A18" s="80" t="s">
        <v>2288</v>
      </c>
      <c r="B18" s="81"/>
    </row>
    <row r="19" customFormat="false" ht="15" hidden="false" customHeight="false" outlineLevel="0" collapsed="false">
      <c r="A19" s="83" t="s">
        <v>57</v>
      </c>
      <c r="B19" s="81" t="s">
        <v>2289</v>
      </c>
    </row>
    <row r="20" customFormat="false" ht="15" hidden="false" customHeight="false" outlineLevel="0" collapsed="false">
      <c r="A20" s="84" t="s">
        <v>40</v>
      </c>
      <c r="B20" s="81" t="s">
        <v>2290</v>
      </c>
    </row>
    <row r="21" customFormat="false" ht="15" hidden="false" customHeight="false" outlineLevel="0" collapsed="false">
      <c r="A21" s="85" t="s">
        <v>18</v>
      </c>
      <c r="B21" s="81" t="s">
        <v>2291</v>
      </c>
    </row>
    <row r="22" customFormat="false" ht="15" hidden="false" customHeight="false" outlineLevel="0" collapsed="false">
      <c r="A22" s="86" t="s">
        <v>347</v>
      </c>
      <c r="B22" s="81" t="s">
        <v>2292</v>
      </c>
    </row>
    <row r="23" customFormat="false" ht="15" hidden="false" customHeight="false" outlineLevel="0" collapsed="false">
      <c r="A23" s="87" t="s">
        <v>293</v>
      </c>
      <c r="B23" s="81" t="s">
        <v>2293</v>
      </c>
    </row>
    <row r="24" customFormat="false" ht="15" hidden="false" customHeight="false" outlineLevel="0" collapsed="false">
      <c r="A24" s="82" t="s">
        <v>348</v>
      </c>
      <c r="B24" s="81" t="s">
        <v>2294</v>
      </c>
    </row>
    <row r="25" customFormat="false" ht="15" hidden="false" customHeight="false" outlineLevel="0" collapsed="false">
      <c r="A25" s="82"/>
      <c r="B25" s="81"/>
    </row>
    <row r="26" customFormat="false" ht="15" hidden="false" customHeight="false" outlineLevel="0" collapsed="false">
      <c r="A26" s="80" t="s">
        <v>2295</v>
      </c>
      <c r="B26" s="81"/>
    </row>
    <row r="27" customFormat="false" ht="15" hidden="false" customHeight="false" outlineLevel="0" collapsed="false">
      <c r="A27" s="82" t="s">
        <v>22</v>
      </c>
      <c r="B27" s="81" t="s">
        <v>2296</v>
      </c>
    </row>
    <row r="28" customFormat="false" ht="15" hidden="false" customHeight="false" outlineLevel="0" collapsed="false">
      <c r="A28" s="82" t="s">
        <v>79</v>
      </c>
      <c r="B28" s="81" t="s">
        <v>2297</v>
      </c>
    </row>
    <row r="29" customFormat="false" ht="15" hidden="false" customHeight="false" outlineLevel="0" collapsed="false">
      <c r="A29" s="82" t="s">
        <v>56</v>
      </c>
      <c r="B29" s="81" t="s">
        <v>2298</v>
      </c>
    </row>
    <row r="30" customFormat="false" ht="15" hidden="false" customHeight="false" outlineLevel="0" collapsed="false">
      <c r="A30" s="82" t="s">
        <v>93</v>
      </c>
      <c r="B30" s="81" t="s">
        <v>2299</v>
      </c>
    </row>
    <row r="31" customFormat="false" ht="15" hidden="false" customHeight="false" outlineLevel="0" collapsed="false">
      <c r="A31" s="82" t="s">
        <v>217</v>
      </c>
      <c r="B31" s="81" t="s">
        <v>2300</v>
      </c>
    </row>
    <row r="32" customFormat="false" ht="15" hidden="false" customHeight="false" outlineLevel="0" collapsed="false">
      <c r="A32" s="82" t="s">
        <v>17</v>
      </c>
      <c r="B32" s="81" t="s">
        <v>2301</v>
      </c>
    </row>
    <row r="33" customFormat="false" ht="15" hidden="false" customHeight="false" outlineLevel="0" collapsed="false">
      <c r="A33" s="82" t="s">
        <v>39</v>
      </c>
      <c r="B33" s="81" t="s">
        <v>2302</v>
      </c>
    </row>
    <row r="34" customFormat="false" ht="15" hidden="false" customHeight="false" outlineLevel="0" collapsed="false">
      <c r="A34" s="82" t="s">
        <v>86</v>
      </c>
      <c r="B34" s="81" t="s">
        <v>2303</v>
      </c>
    </row>
    <row r="35" customFormat="false" ht="15" hidden="false" customHeight="false" outlineLevel="0" collapsed="false">
      <c r="A35" s="82" t="s">
        <v>26</v>
      </c>
      <c r="B35" s="81" t="s">
        <v>2304</v>
      </c>
    </row>
    <row r="36" customFormat="false" ht="15" hidden="false" customHeight="false" outlineLevel="0" collapsed="false">
      <c r="A36" s="82" t="s">
        <v>491</v>
      </c>
      <c r="B36" s="81" t="s">
        <v>2305</v>
      </c>
    </row>
    <row r="37" customFormat="false" ht="15" hidden="false" customHeight="false" outlineLevel="0" collapsed="false">
      <c r="A37" s="82" t="s">
        <v>2306</v>
      </c>
      <c r="B37" s="81" t="s">
        <v>2307</v>
      </c>
    </row>
    <row r="38" customFormat="false" ht="15" hidden="false" customHeight="false" outlineLevel="0" collapsed="false">
      <c r="A38" s="82" t="s">
        <v>1601</v>
      </c>
      <c r="B38" s="81" t="s">
        <v>2308</v>
      </c>
    </row>
    <row r="39" customFormat="false" ht="15" hidden="false" customHeight="false" outlineLevel="0" collapsed="false">
      <c r="A39" s="82"/>
      <c r="B39" s="81"/>
    </row>
    <row r="40" customFormat="false" ht="15" hidden="false" customHeight="false" outlineLevel="0" collapsed="false">
      <c r="A40" s="80" t="s">
        <v>2309</v>
      </c>
      <c r="B40" s="81"/>
    </row>
    <row r="41" customFormat="false" ht="15" hidden="false" customHeight="false" outlineLevel="0" collapsed="false">
      <c r="A41" s="82" t="s">
        <v>818</v>
      </c>
      <c r="B41" s="81" t="s">
        <v>2310</v>
      </c>
    </row>
    <row r="42" customFormat="false" ht="15" hidden="false" customHeight="false" outlineLevel="0" collapsed="false">
      <c r="A42" s="82" t="s">
        <v>2311</v>
      </c>
      <c r="B42" s="81" t="s">
        <v>2312</v>
      </c>
    </row>
    <row r="43" customFormat="false" ht="15" hidden="false" customHeight="false" outlineLevel="0" collapsed="false">
      <c r="A43" s="82" t="s">
        <v>2313</v>
      </c>
      <c r="B43" s="81" t="s">
        <v>2314</v>
      </c>
    </row>
    <row r="44" customFormat="false" ht="15" hidden="false" customHeight="false" outlineLevel="0" collapsed="false">
      <c r="A44" s="82" t="s">
        <v>438</v>
      </c>
      <c r="B44" s="81" t="s">
        <v>2315</v>
      </c>
    </row>
    <row r="45" customFormat="false" ht="15" hidden="false" customHeight="false" outlineLevel="0" collapsed="false">
      <c r="A45" s="82" t="s">
        <v>563</v>
      </c>
      <c r="B45" s="81" t="s">
        <v>2316</v>
      </c>
    </row>
    <row r="46" customFormat="false" ht="15" hidden="false" customHeight="false" outlineLevel="0" collapsed="false">
      <c r="A46" s="82" t="s">
        <v>445</v>
      </c>
      <c r="B46" s="81" t="s">
        <v>2317</v>
      </c>
    </row>
    <row r="47" customFormat="false" ht="15" hidden="false" customHeight="false" outlineLevel="0" collapsed="false">
      <c r="A47" s="82"/>
      <c r="B47" s="81"/>
    </row>
    <row r="48" customFormat="false" ht="15" hidden="false" customHeight="false" outlineLevel="0" collapsed="false">
      <c r="A48" s="80" t="s">
        <v>2318</v>
      </c>
      <c r="B48" s="81"/>
    </row>
    <row r="49" customFormat="false" ht="23.85" hidden="false" customHeight="false" outlineLevel="0" collapsed="false">
      <c r="A49" s="82" t="s">
        <v>401</v>
      </c>
      <c r="B49" s="81" t="s">
        <v>402</v>
      </c>
    </row>
    <row r="50" customFormat="false" ht="23.85" hidden="false" customHeight="false" outlineLevel="0" collapsed="false">
      <c r="A50" s="82" t="s">
        <v>403</v>
      </c>
      <c r="B50" s="81" t="s">
        <v>404</v>
      </c>
    </row>
    <row r="51" customFormat="false" ht="15" hidden="false" customHeight="false" outlineLevel="0" collapsed="false">
      <c r="A51" s="82"/>
      <c r="B51" s="81"/>
    </row>
    <row r="52" customFormat="false" ht="15" hidden="false" customHeight="false" outlineLevel="0" collapsed="false">
      <c r="A52" s="82" t="s">
        <v>2319</v>
      </c>
      <c r="B52" s="81" t="s">
        <v>2320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2321</v>
      </c>
      <c r="D1" s="0" t="s">
        <v>2322</v>
      </c>
      <c r="F1" s="0" t="s">
        <v>407</v>
      </c>
      <c r="H1" s="0" t="s">
        <v>288</v>
      </c>
    </row>
    <row r="2" customFormat="false" ht="15" hidden="false" customHeight="false" outlineLevel="0" collapsed="false">
      <c r="A2" s="0" t="s">
        <v>57</v>
      </c>
      <c r="B2" s="0" t="s">
        <v>2323</v>
      </c>
      <c r="D2" s="0" t="s">
        <v>2227</v>
      </c>
      <c r="F2" s="0" t="s">
        <v>2324</v>
      </c>
      <c r="H2" s="0" t="s">
        <v>2325</v>
      </c>
    </row>
    <row r="3" customFormat="false" ht="15" hidden="false" customHeight="false" outlineLevel="0" collapsed="false">
      <c r="A3" s="0" t="s">
        <v>40</v>
      </c>
      <c r="B3" s="0" t="s">
        <v>2326</v>
      </c>
      <c r="D3" s="0" t="s">
        <v>2230</v>
      </c>
      <c r="F3" s="0" t="s">
        <v>2327</v>
      </c>
      <c r="H3" s="0" t="s">
        <v>2328</v>
      </c>
    </row>
    <row r="4" customFormat="false" ht="15" hidden="false" customHeight="false" outlineLevel="0" collapsed="false">
      <c r="A4" s="0" t="s">
        <v>18</v>
      </c>
      <c r="B4" s="0" t="s">
        <v>2326</v>
      </c>
      <c r="D4" s="0" t="s">
        <v>2233</v>
      </c>
      <c r="F4" s="0" t="s">
        <v>2329</v>
      </c>
      <c r="H4" s="0" t="s">
        <v>2330</v>
      </c>
    </row>
    <row r="5" customFormat="false" ht="15" hidden="false" customHeight="false" outlineLevel="0" collapsed="false">
      <c r="A5" s="0" t="s">
        <v>347</v>
      </c>
      <c r="B5" s="0" t="s">
        <v>2331</v>
      </c>
      <c r="D5" s="0" t="s">
        <v>2236</v>
      </c>
      <c r="F5" s="0" t="s">
        <v>2332</v>
      </c>
      <c r="H5" s="0" t="s">
        <v>2333</v>
      </c>
    </row>
    <row r="6" customFormat="false" ht="15" hidden="false" customHeight="false" outlineLevel="0" collapsed="false">
      <c r="A6" s="0" t="s">
        <v>293</v>
      </c>
      <c r="B6" s="0" t="s">
        <v>2334</v>
      </c>
      <c r="D6" s="0" t="s">
        <v>2239</v>
      </c>
      <c r="F6" s="0" t="s">
        <v>2335</v>
      </c>
      <c r="H6" s="0" t="s">
        <v>2336</v>
      </c>
    </row>
    <row r="7" customFormat="false" ht="15" hidden="false" customHeight="false" outlineLevel="0" collapsed="false">
      <c r="D7" s="0" t="s">
        <v>2242</v>
      </c>
      <c r="F7" s="0" t="s">
        <v>2337</v>
      </c>
      <c r="H7" s="0" t="s">
        <v>2338</v>
      </c>
    </row>
    <row r="8" customFormat="false" ht="15" hidden="false" customHeight="false" outlineLevel="0" collapsed="false">
      <c r="D8" s="0" t="s">
        <v>2245</v>
      </c>
      <c r="F8" s="0" t="s">
        <v>2339</v>
      </c>
      <c r="H8" s="0" t="s">
        <v>2340</v>
      </c>
    </row>
    <row r="9" customFormat="false" ht="15" hidden="false" customHeight="false" outlineLevel="0" collapsed="false">
      <c r="D9" s="0" t="s">
        <v>2248</v>
      </c>
      <c r="F9" s="0" t="s">
        <v>2341</v>
      </c>
      <c r="H9" s="0" t="s">
        <v>2342</v>
      </c>
    </row>
    <row r="10" customFormat="false" ht="15" hidden="false" customHeight="false" outlineLevel="0" collapsed="false">
      <c r="D10" s="0" t="s">
        <v>2251</v>
      </c>
    </row>
    <row r="11" customFormat="false" ht="15" hidden="false" customHeight="false" outlineLevel="0" collapsed="false">
      <c r="D11" s="0" t="s">
        <v>2254</v>
      </c>
    </row>
    <row r="12" customFormat="false" ht="15" hidden="false" customHeight="false" outlineLevel="0" collapsed="false">
      <c r="D12" s="0" t="s">
        <v>2257</v>
      </c>
    </row>
    <row r="13" customFormat="false" ht="15" hidden="false" customHeight="false" outlineLevel="0" collapsed="false">
      <c r="D13" s="0" t="s">
        <v>2260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2026-10-18T00:49:09Z</dcterms:created>
  <dc:creator>openpyxl</dc:creator>
  <dc:description/>
  <dc:language>en-US</dc:language>
  <cp:lastModifiedBy/>
  <dcterms:modified xsi:type="dcterms:W3CDTF">2026-10-18T00:49:10Z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